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<sst xmlns="http://schemas.openxmlformats.org/spreadsheetml/2006/main" count="408" uniqueCount="196">
  <si>
    <t>Risk 시나리오</t>
  </si>
  <si>
    <t>Asset</t>
  </si>
  <si>
    <t>Asset Value</t>
  </si>
  <si>
    <t>Vuln</t>
  </si>
  <si>
    <t>Vuln Value
(심도)</t>
  </si>
  <si>
    <t>Threat</t>
  </si>
  <si>
    <t>Threat Value
(빈도)</t>
  </si>
  <si>
    <t>Control</t>
  </si>
  <si>
    <t>Asset Value
감소량
by Control</t>
  </si>
  <si>
    <t>Vuls Value
감소량
by Control</t>
  </si>
  <si>
    <t>Threat Value
감소량
by Control</t>
  </si>
  <si>
    <t>Control Cost
중 Tangible 
(금전비용)</t>
  </si>
  <si>
    <t>Control Cost
중 Psychological
(번거로움, 노력)</t>
  </si>
  <si>
    <t>Control Cost
중 Psychological
(소모시간)</t>
  </si>
  <si>
    <t>Quick Wins 
여부</t>
  </si>
  <si>
    <t>Control Cost
총합</t>
  </si>
  <si>
    <t>Risk Value
(Before Control)</t>
  </si>
  <si>
    <t>Risk Value
(After Control)</t>
  </si>
  <si>
    <t>영향 받는 자산(Trade-off)</t>
  </si>
  <si>
    <t>영향 받는 자산의 value</t>
  </si>
  <si>
    <t>Penalty의 심각성(vul_value)</t>
  </si>
  <si>
    <t>penalty</t>
  </si>
  <si>
    <t>KPI1 
= RRR</t>
  </si>
  <si>
    <t>KPI2 
= ROI</t>
  </si>
  <si>
    <t>Scaled KPI1</t>
  </si>
  <si>
    <t>Scaled KPI2</t>
  </si>
  <si>
    <t>Final KPI 
= Scaled KPI1 
+ Scaled KPI2</t>
  </si>
  <si>
    <t>핸드폰 도난</t>
  </si>
  <si>
    <t>핸드폰</t>
  </si>
  <si>
    <t>소지 부주의</t>
  </si>
  <si>
    <t>도난</t>
  </si>
  <si>
    <t xml:space="preserve">여행자 보험 휴대폰 손해 특약: 도난, 파손에 대해서만 보상하므로, 현지 경찰서에서 폴리스 리포트 작성하여 도난 사실 증명해야 함. 기기 하나 당 최대 20만원 보장. 해당 특약은 보통 3박 4일에 약 3000원. 핸드폰 가격을 100만원이라고 쳤을 때, 최대 20만원 밖에 보장 받을 수 없으므로 좋은 컨트롤이 아님 </t>
  </si>
  <si>
    <t>가방 잠금: 물리적 접근 난이도 증가 -&gt; 도난 확률 감소</t>
  </si>
  <si>
    <t>공공장소에서 핸드폰 보관 주의</t>
  </si>
  <si>
    <t>핸드폰 분실</t>
  </si>
  <si>
    <t>분실</t>
  </si>
  <si>
    <t>스마트폰 위치 추적 기능 활성화 -&gt; 분실 후 회수율 상승</t>
  </si>
  <si>
    <t>목걸이형 스트랩 사용 -&gt; 분실 가능성 자체 감소</t>
  </si>
  <si>
    <t>핸드폰 고장(떨굼)</t>
  </si>
  <si>
    <t>충격 흡수 케이스 미사용</t>
  </si>
  <si>
    <t>떨어뜨림</t>
  </si>
  <si>
    <t>충격 흡수 케이스 착용</t>
  </si>
  <si>
    <t>강화 유리 필름 부착</t>
  </si>
  <si>
    <t>여행자 보험 휴대폰 손해 특약</t>
  </si>
  <si>
    <t>핸드폰 고장(충격)</t>
  </si>
  <si>
    <t>충격 잦은 활동</t>
  </si>
  <si>
    <t>충격</t>
  </si>
  <si>
    <t>액티비티 중 휴대폰 사용 X</t>
  </si>
  <si>
    <t>재미</t>
  </si>
  <si>
    <t>지갑 분실(지갑 30만, 현금 10만)</t>
  </si>
  <si>
    <t>돈(현금/카드)</t>
  </si>
  <si>
    <t>지갑 떨굼</t>
  </si>
  <si>
    <t>현금/카드 분리 보관</t>
  </si>
  <si>
    <t>목걸이형 지갑 사용</t>
  </si>
  <si>
    <t>지갑 소매치기</t>
  </si>
  <si>
    <t>가방/주머니 노출</t>
  </si>
  <si>
    <t>소매치기</t>
  </si>
  <si>
    <t>지갑을 잠금 가방 내부에 휴대</t>
  </si>
  <si>
    <t>현금 부족</t>
  </si>
  <si>
    <t>환전 부족</t>
  </si>
  <si>
    <t>트래블 페이 사용(해외 결제 가능한 모바일 페이)</t>
  </si>
  <si>
    <t>환전 까먹지 말기</t>
  </si>
  <si>
    <t>여권 도난</t>
  </si>
  <si>
    <t>여권</t>
  </si>
  <si>
    <t>여권 사본 준비: 심리적 취약성 감소</t>
  </si>
  <si>
    <t>여행자 보험 여권 특약 가입: 비용적 취약성 감소</t>
  </si>
  <si>
    <t>여권 분실</t>
  </si>
  <si>
    <t>여권 떨굼 등</t>
  </si>
  <si>
    <t>카메라 소매치기</t>
  </si>
  <si>
    <t>소지품(가방, 지갑, 카메라 등)</t>
  </si>
  <si>
    <t>가방 개방형</t>
  </si>
  <si>
    <t xml:space="preserve">여행자 보험 도난 특약 가입: 도난, 파손에 대해서만 보상하므로, 현지 경찰서에서 폴리스 리포트 작성하여 도난 사실 증명해야 함. 기기 하나 당 최대 20만원 보장. 해당 특약은 보통 3박 4일에 약 3000원. 핸드폰 가격을 50만원 이상이라고 쳤을 때, 최대 20만원 밖에 보장 받을 수 없으므로 좋은 컨트롤이 아님 </t>
  </si>
  <si>
    <t>지퍼형/잠금 가방 사용 -&gt; 물리적 접근 난이도 증가</t>
  </si>
  <si>
    <t>저렴한 카메라 소지 (10만원 미만)</t>
  </si>
  <si>
    <t>미적 만족감</t>
  </si>
  <si>
    <t>가방 도난</t>
  </si>
  <si>
    <t>방심</t>
  </si>
  <si>
    <t>메신저백 사용</t>
  </si>
  <si>
    <t>고가 물품 최소화 및 분산 보관</t>
  </si>
  <si>
    <t>소지품 분실</t>
  </si>
  <si>
    <t>정리 소홀</t>
  </si>
  <si>
    <t>소지품 깜빡하고 귀국</t>
  </si>
  <si>
    <t>소지품 체크리스트 작성 및 사용</t>
  </si>
  <si>
    <t>이름/연락처 스티커 부착 -&gt; 회수 확률 증가</t>
  </si>
  <si>
    <t>카메라 파손</t>
  </si>
  <si>
    <t>케이스 미비</t>
  </si>
  <si>
    <t>카메라 떨어뜨림, 충격</t>
  </si>
  <si>
    <t>충격 방지 케이스 및 렌즈 캡 착용</t>
  </si>
  <si>
    <t>여행자 보험 파손 특약 가입</t>
  </si>
  <si>
    <t>교통사고</t>
  </si>
  <si>
    <t>건강</t>
  </si>
  <si>
    <t>렌트카 다수 운행 중</t>
  </si>
  <si>
    <t>교통사고로 중경상</t>
  </si>
  <si>
    <t>여행자보험</t>
  </si>
  <si>
    <t>5</t>
  </si>
  <si>
    <t>1</t>
  </si>
  <si>
    <t>열사병</t>
  </si>
  <si>
    <t>폭염 중 활동</t>
  </si>
  <si>
    <t>열사병으로 인한 건강 악화</t>
  </si>
  <si>
    <t>충분한 수분 섭취</t>
  </si>
  <si>
    <t>감기</t>
  </si>
  <si>
    <t>- 수영 등의 수중 활동
- 일교차 및 비 맞음</t>
  </si>
  <si>
    <t>감기로 인한 컨디션 난조</t>
  </si>
  <si>
    <t>드럭스토어 감기약 사용</t>
  </si>
  <si>
    <t>식중독</t>
  </si>
  <si>
    <t>부패한 음식</t>
  </si>
  <si>
    <t>상한 음식을 먹을 가능성</t>
  </si>
  <si>
    <t>구글리뷰 4.0 이상의 식당이용</t>
  </si>
  <si>
    <t>차 안에 음식 오래 두지 않기</t>
  </si>
  <si>
    <t>하부(독사) 물림</t>
  </si>
  <si>
    <t>오키나와에 다수 존재하는 독사</t>
  </si>
  <si>
    <t>맹독을 가진 독사에 물릴 위험</t>
  </si>
  <si>
    <t>시골 숲길 들어가지 않기</t>
  </si>
  <si>
    <t>대중교통</t>
  </si>
  <si>
    <t>편의</t>
  </si>
  <si>
    <t>미흡한 시외 대중교통</t>
  </si>
  <si>
    <t>- 대중교통편이 없어 택시를 탈 가능성
- 대중교통이 매우 오래걸림</t>
  </si>
  <si>
    <t>차량 렌트</t>
  </si>
  <si>
    <t>15</t>
  </si>
  <si>
    <t>인근 편의점, 마트</t>
  </si>
  <si>
    <t>외진 숙소 이용</t>
  </si>
  <si>
    <t>숙소 인근에 도보로 접근 가능한 편의점이나 마트가 없을 가능성</t>
  </si>
  <si>
    <t>위험보유(그럴 일 거의 없음)</t>
  </si>
  <si>
    <t>0</t>
  </si>
  <si>
    <t>관광안내소</t>
  </si>
  <si>
    <t>- 관광 안내 미탐색
- 안내 미제공</t>
  </si>
  <si>
    <t>관광지에서 별도의 안내나 설명을 이용하지 못할 가능성</t>
  </si>
  <si>
    <t>위험보유(불편이 없음)</t>
  </si>
  <si>
    <t>영어 미제공</t>
  </si>
  <si>
    <t>- 전통 가게 방문
- 일본인 대상 서비스 이용
- 시내 밖 관광</t>
  </si>
  <si>
    <t>관광 중 영어를 사용한 소통 및 영어 기반 설명이 없는 경우</t>
  </si>
  <si>
    <t>파파고</t>
  </si>
  <si>
    <t>낙후된 숙소</t>
  </si>
  <si>
    <t>위생</t>
  </si>
  <si>
    <t>저렴한 숙소 이용</t>
  </si>
  <si>
    <t>숙소 침구류, 가구에 이상 물질 발견하거나 화장실 및 침실의 청결 불량</t>
  </si>
  <si>
    <t>숙소 비용 상향 조정</t>
  </si>
  <si>
    <t>10</t>
  </si>
  <si>
    <t>오염된 물</t>
  </si>
  <si>
    <t>오래되거나 출처가 불분명한 물 음용</t>
  </si>
  <si>
    <t>오염된 물을 음용하거나 목욕에 사용하여 건강 악화</t>
  </si>
  <si>
    <t>비위생적인 식당</t>
  </si>
  <si>
    <t>- 중국인 점원
- 주방 위생 불량</t>
  </si>
  <si>
    <t>식당 이용 중 비위생적인 서비스 이용</t>
  </si>
  <si>
    <t>구글 리뷰 4.0 이상 사용</t>
  </si>
  <si>
    <t>경범죄</t>
  </si>
  <si>
    <t>치안</t>
  </si>
  <si>
    <t>- 어두운 거리
- CCTV 미설치</t>
  </si>
  <si>
    <t>경범죄로 인한 신체/심리적 상해</t>
  </si>
  <si>
    <t>외진 숙소 대신 시내의 숙소 이용</t>
  </si>
  <si>
    <t>중범죄</t>
  </si>
  <si>
    <t>주요 범죄 발생 지역</t>
  </si>
  <si>
    <t>중범죄 및 성범죄로 인한 신체/심리적 상해</t>
  </si>
  <si>
    <t>외지고 어두운 거리 미이용</t>
  </si>
  <si>
    <t>TRUE</t>
  </si>
  <si>
    <t>미군 관련 범죄</t>
  </si>
  <si>
    <t>미군에 의한 성범죄 증대</t>
  </si>
  <si>
    <t>일본 내 미군 관련 형사 사건 118건 중 72건(61%)이 오키나와에서 발생</t>
  </si>
  <si>
    <t>유흥업 회피</t>
  </si>
  <si>
    <t>관광사기, 바가지</t>
  </si>
  <si>
    <t>- 관광상품 경쟁
- 해외의 섬도시 특유의 소송의 어려움</t>
  </si>
  <si>
    <t>- 렌트카, 관광코스 등에서 면책 사기, 바가지 등의 소액 덤터기 가능성</t>
  </si>
  <si>
    <t>리뷰 검증된 관광상품 이용</t>
  </si>
  <si>
    <t>2</t>
  </si>
  <si>
    <t>필요시 녹음</t>
  </si>
  <si>
    <t>장마로 인한 풍경 변화</t>
  </si>
  <si>
    <t>장마나 태풍 기간에 여행</t>
  </si>
  <si>
    <t>궂은 날씨</t>
  </si>
  <si>
    <t xml:space="preserve">장마나 태풍 기간 피해서 여행 가기 </t>
  </si>
  <si>
    <t xml:space="preserve">실내 활동 위주로 계획하기 </t>
  </si>
  <si>
    <t>날씨 변화</t>
  </si>
  <si>
    <t>날씨 예보의 부정확성</t>
  </si>
  <si>
    <t>여러 신뢰도 높은 기상 정보를 교차검증하기</t>
  </si>
  <si>
    <t xml:space="preserve">유연하게 일정을 조율할 수 있도록 '실내/실외' 옵션이 모두 포함된 계획 세우기 </t>
  </si>
  <si>
    <t>갑자기 우천</t>
  </si>
  <si>
    <t>우산 등의 준비 미흡</t>
  </si>
  <si>
    <t>우산 챙기기</t>
  </si>
  <si>
    <t xml:space="preserve">우산 구매처 알아두기 </t>
  </si>
  <si>
    <t>방문지 변수로 인한 불만</t>
  </si>
  <si>
    <t>여행코스 대안의 부재</t>
  </si>
  <si>
    <t>방문장의 예기치못한 변수 (eg. 공사중, 임시휴무 등)</t>
  </si>
  <si>
    <t>각 방문지 별로 '비슷한 테마' 또는 '가까운 거리'의 1~2순위 대체 장소를 미리 설정하기</t>
  </si>
  <si>
    <t>장마로 인한 불편</t>
  </si>
  <si>
    <t>관광지 변동</t>
  </si>
  <si>
    <t>싸움</t>
  </si>
  <si>
    <t>동행자와의 관계</t>
  </si>
  <si>
    <t>동행자와 여행 취향 안맞음</t>
  </si>
  <si>
    <t>동행자와의 불화</t>
  </si>
  <si>
    <t xml:space="preserve">여행 스타일 미리 맞추기 </t>
  </si>
  <si>
    <t>함께하는 시간과 각자의 시간을 미리 정해놓기</t>
  </si>
  <si>
    <t>교통 체증</t>
  </si>
  <si>
    <t>소모시간</t>
  </si>
  <si>
    <t>교통체증이 발생한 도로의 사용</t>
  </si>
  <si>
    <t>실시간 교통정보 이용하기</t>
  </si>
  <si>
    <t xml:space="preserve">상습 정체 구간과 시간대를 미리 알고 계획해서 다니기 </t>
  </si>
  <si>
    <t>방문지 변수 → 시간 소모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</si>
</sst>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00FF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theme="4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CDCD"/>
        <bgColor rgb="FFEACDCD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3">
    <border/>
    <border>
      <right style="thick">
        <color rgb="FFB7B7B7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3" fontId="4" numFmtId="0" xfId="0" applyAlignment="1" applyBorder="1" applyFill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3" fontId="4" numFmtId="0" xfId="0" applyFont="1"/>
    <xf borderId="0" fillId="4" fontId="4" numFmtId="0" xfId="0" applyFill="1" applyFont="1"/>
    <xf borderId="1" fillId="4" fontId="4" numFmtId="0" xfId="0" applyBorder="1" applyFont="1"/>
    <xf borderId="1" fillId="5" fontId="4" numFmtId="0" xfId="0" applyAlignment="1" applyBorder="1" applyFill="1" applyFont="1">
      <alignment readingOrder="0"/>
    </xf>
    <xf borderId="0" fillId="5" fontId="4" numFmtId="0" xfId="0" applyAlignment="1" applyFont="1">
      <alignment readingOrder="0"/>
    </xf>
    <xf borderId="0" fillId="5" fontId="4" numFmtId="0" xfId="0" applyAlignment="1" applyFont="1">
      <alignment horizontal="center" readingOrder="0"/>
    </xf>
    <xf borderId="2" fillId="5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0" fillId="5" fontId="4" numFmtId="0" xfId="0" applyAlignment="1" applyFont="1">
      <alignment horizontal="center"/>
    </xf>
    <xf borderId="0" fillId="5" fontId="4" numFmtId="0" xfId="0" applyFont="1"/>
    <xf borderId="1" fillId="5" fontId="4" numFmtId="0" xfId="0" applyBorder="1" applyFont="1"/>
    <xf borderId="1" fillId="5" fontId="5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readingOrder="0" vertical="bottom"/>
    </xf>
    <xf borderId="0" fillId="5" fontId="5" numFmtId="0" xfId="0" applyAlignment="1" applyFon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6" fontId="5" numFmtId="0" xfId="0" applyAlignment="1" applyBorder="1" applyFill="1" applyFont="1">
      <alignment vertical="bottom"/>
    </xf>
    <xf borderId="0" fillId="6" fontId="5" numFmtId="0" xfId="0" applyAlignment="1" applyFont="1">
      <alignment vertical="bottom"/>
    </xf>
    <xf borderId="0" fillId="6" fontId="5" numFmtId="0" xfId="0" applyAlignment="1" applyFont="1">
      <alignment horizontal="center" vertical="bottom"/>
    </xf>
    <xf borderId="2" fillId="6" fontId="5" numFmtId="0" xfId="0" applyAlignment="1" applyBorder="1" applyFont="1">
      <alignment horizontal="center" vertical="bottom"/>
    </xf>
    <xf borderId="1" fillId="6" fontId="5" numFmtId="0" xfId="0" applyAlignment="1" applyBorder="1" applyFont="1">
      <alignment readingOrder="0" vertical="bottom"/>
    </xf>
    <xf borderId="0" fillId="6" fontId="5" numFmtId="0" xfId="0" applyAlignment="1" applyFon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2" fillId="6" fontId="5" numFmtId="0" xfId="0" applyAlignment="1" applyBorder="1" applyFont="1">
      <alignment horizontal="center" readingOrder="0" vertical="bottom"/>
    </xf>
    <xf borderId="0" fillId="6" fontId="5" numFmtId="0" xfId="0" applyAlignment="1" applyFont="1">
      <alignment horizontal="center" vertical="bottom"/>
    </xf>
    <xf borderId="0" fillId="6" fontId="4" numFmtId="0" xfId="0" applyFont="1"/>
    <xf borderId="1" fillId="0" fontId="4" numFmtId="0" xfId="0" applyBorder="1" applyFont="1"/>
    <xf borderId="0" fillId="0" fontId="4" numFmtId="0" xfId="0" applyFont="1"/>
    <xf borderId="1" fillId="3" fontId="4" numFmtId="0" xfId="0" applyBorder="1" applyFont="1"/>
    <xf borderId="1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0" fillId="2" fontId="4" numFmtId="0" xfId="0" applyFont="1"/>
    <xf borderId="1" fillId="3" fontId="5" numFmtId="0" xfId="0" applyAlignment="1" applyBorder="1" applyFont="1">
      <alignment readingOrder="0"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readingOrder="0" vertical="bottom"/>
    </xf>
    <xf borderId="2" fillId="3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0" fillId="5" fontId="5" numFmtId="0" xfId="0" applyAlignment="1" applyFont="1">
      <alignment readingOrder="0" vertical="bottom"/>
    </xf>
    <xf borderId="1" fillId="2" fontId="4" numFmtId="0" xfId="0" applyBorder="1" applyFont="1"/>
    <xf borderId="1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0" fillId="2" fontId="5" numFmtId="0" xfId="0" applyAlignment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7" fontId="4" numFmtId="0" xfId="0" applyAlignment="1" applyBorder="1" applyFill="1" applyFont="1">
      <alignment readingOrder="0"/>
    </xf>
    <xf borderId="0" fillId="7" fontId="4" numFmtId="0" xfId="0" applyAlignment="1" applyFont="1">
      <alignment readingOrder="0"/>
    </xf>
    <xf borderId="0" fillId="7" fontId="4" numFmtId="0" xfId="0" applyAlignment="1" applyFont="1">
      <alignment horizontal="center" readingOrder="0"/>
    </xf>
    <xf borderId="2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/>
    </xf>
    <xf borderId="0" fillId="7" fontId="4" numFmtId="49" xfId="0" applyAlignment="1" applyFont="1" applyNumberFormat="1">
      <alignment horizontal="center" readingOrder="0"/>
    </xf>
    <xf borderId="2" fillId="7" fontId="4" numFmtId="49" xfId="0" applyAlignment="1" applyBorder="1" applyFont="1" applyNumberFormat="1">
      <alignment horizontal="center"/>
    </xf>
    <xf borderId="0" fillId="7" fontId="4" numFmtId="0" xfId="0" applyAlignment="1" applyFont="1">
      <alignment horizontal="center"/>
    </xf>
    <xf borderId="0" fillId="7" fontId="4" numFmtId="0" xfId="0" applyFont="1"/>
    <xf borderId="1" fillId="7" fontId="4" numFmtId="0" xfId="0" applyBorder="1" applyFont="1"/>
    <xf borderId="1" fillId="8" fontId="4" numFmtId="0" xfId="0" applyAlignment="1" applyBorder="1" applyFill="1" applyFont="1">
      <alignment readingOrder="0"/>
    </xf>
    <xf borderId="0" fillId="8" fontId="4" numFmtId="0" xfId="0" applyAlignment="1" applyFont="1">
      <alignment readingOrder="0"/>
    </xf>
    <xf borderId="0" fillId="8" fontId="4" numFmtId="0" xfId="0" applyAlignment="1" applyFont="1">
      <alignment horizontal="center" readingOrder="0"/>
    </xf>
    <xf borderId="2" fillId="8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0" fillId="8" fontId="4" numFmtId="49" xfId="0" applyAlignment="1" applyFont="1" applyNumberFormat="1">
      <alignment horizontal="center" readingOrder="0"/>
    </xf>
    <xf borderId="2" fillId="8" fontId="4" numFmtId="49" xfId="0" applyAlignment="1" applyBorder="1" applyFont="1" applyNumberFormat="1">
      <alignment horizontal="center"/>
    </xf>
    <xf borderId="0" fillId="8" fontId="4" numFmtId="0" xfId="0" applyAlignment="1" applyFont="1">
      <alignment horizontal="center"/>
    </xf>
    <xf borderId="1" fillId="8" fontId="4" numFmtId="0" xfId="0" applyBorder="1" applyFont="1"/>
    <xf borderId="0" fillId="8" fontId="4" numFmtId="0" xfId="0" applyFont="1"/>
    <xf borderId="2" fillId="7" fontId="5" numFmtId="49" xfId="0" applyAlignment="1" applyBorder="1" applyFont="1" applyNumberFormat="1">
      <alignment horizontal="center" vertical="bottom"/>
    </xf>
    <xf borderId="2" fillId="8" fontId="5" numFmtId="49" xfId="0" applyAlignment="1" applyBorder="1" applyFont="1" applyNumberFormat="1">
      <alignment horizontal="center" vertical="bottom"/>
    </xf>
    <xf borderId="1" fillId="9" fontId="4" numFmtId="0" xfId="0" applyAlignment="1" applyBorder="1" applyFill="1" applyFont="1">
      <alignment readingOrder="0"/>
    </xf>
    <xf borderId="0" fillId="9" fontId="4" numFmtId="0" xfId="0" applyAlignment="1" applyFont="1">
      <alignment readingOrder="0"/>
    </xf>
    <xf borderId="0" fillId="9" fontId="4" numFmtId="0" xfId="0" applyAlignment="1" applyFont="1">
      <alignment horizontal="center" readingOrder="0"/>
    </xf>
    <xf borderId="2" fillId="9" fontId="4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 readingOrder="0"/>
    </xf>
    <xf borderId="0" fillId="9" fontId="4" numFmtId="49" xfId="0" applyAlignment="1" applyFont="1" applyNumberFormat="1">
      <alignment horizontal="center" readingOrder="0"/>
    </xf>
    <xf borderId="2" fillId="9" fontId="5" numFmtId="49" xfId="0" applyAlignment="1" applyBorder="1" applyFont="1" applyNumberFormat="1">
      <alignment horizontal="center" vertical="bottom"/>
    </xf>
    <xf borderId="0" fillId="9" fontId="4" numFmtId="0" xfId="0" applyAlignment="1" applyFont="1">
      <alignment horizontal="center"/>
    </xf>
    <xf borderId="0" fillId="9" fontId="4" numFmtId="0" xfId="0" applyFont="1"/>
    <xf borderId="1" fillId="9" fontId="4" numFmtId="0" xfId="0" applyBorder="1" applyFont="1"/>
    <xf borderId="0" fillId="0" fontId="4" numFmtId="49" xfId="0" applyAlignment="1" applyFont="1" applyNumberFormat="1">
      <alignment horizontal="center"/>
    </xf>
    <xf borderId="2" fillId="0" fontId="4" numFmtId="49" xfId="0" applyAlignment="1" applyBorder="1" applyFont="1" applyNumberFormat="1">
      <alignment horizontal="center"/>
    </xf>
    <xf borderId="2" fillId="9" fontId="4" numFmtId="49" xfId="0" applyAlignment="1" applyBorder="1" applyFont="1" applyNumberFormat="1">
      <alignment horizontal="center" readingOrder="0"/>
    </xf>
    <xf borderId="2" fillId="7" fontId="4" numFmtId="49" xfId="0" applyAlignment="1" applyBorder="1" applyFont="1" applyNumberFormat="1">
      <alignment horizontal="center" readingOrder="0"/>
    </xf>
    <xf borderId="0" fillId="7" fontId="6" numFmtId="0" xfId="0" applyFont="1"/>
    <xf borderId="2" fillId="9" fontId="4" numFmtId="49" xfId="0" applyAlignment="1" applyBorder="1" applyFont="1" applyNumberFormat="1">
      <alignment horizontal="center"/>
    </xf>
    <xf borderId="1" fillId="10" fontId="4" numFmtId="0" xfId="0" applyAlignment="1" applyBorder="1" applyFill="1" applyFont="1">
      <alignment readingOrder="0"/>
    </xf>
    <xf borderId="0" fillId="10" fontId="4" numFmtId="0" xfId="0" applyAlignment="1" applyFont="1">
      <alignment readingOrder="0"/>
    </xf>
    <xf borderId="0" fillId="10" fontId="4" numFmtId="0" xfId="0" applyAlignment="1" applyFont="1">
      <alignment horizontal="center" readingOrder="0"/>
    </xf>
    <xf borderId="2" fillId="10" fontId="4" numFmtId="0" xfId="0" applyAlignment="1" applyBorder="1" applyFont="1">
      <alignment horizontal="center" readingOrder="0"/>
    </xf>
    <xf borderId="1" fillId="10" fontId="4" numFmtId="0" xfId="0" applyAlignment="1" applyBorder="1" applyFont="1">
      <alignment horizontal="center" readingOrder="0"/>
    </xf>
    <xf borderId="0" fillId="10" fontId="4" numFmtId="0" xfId="0" applyAlignment="1" applyFont="1">
      <alignment horizontal="center"/>
    </xf>
    <xf borderId="0" fillId="10" fontId="4" numFmtId="0" xfId="0" applyFont="1"/>
    <xf borderId="1" fillId="10" fontId="4" numFmtId="0" xfId="0" applyBorder="1" applyFont="1"/>
    <xf borderId="1" fillId="11" fontId="4" numFmtId="0" xfId="0" applyAlignment="1" applyBorder="1" applyFill="1" applyFont="1">
      <alignment readingOrder="0"/>
    </xf>
    <xf borderId="0" fillId="11" fontId="4" numFmtId="0" xfId="0" applyAlignment="1" applyFont="1">
      <alignment readingOrder="0"/>
    </xf>
    <xf borderId="0" fillId="11" fontId="4" numFmtId="0" xfId="0" applyAlignment="1" applyFont="1">
      <alignment horizontal="center" readingOrder="0"/>
    </xf>
    <xf borderId="2" fillId="11" fontId="4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readingOrder="0"/>
    </xf>
    <xf borderId="0" fillId="11" fontId="4" numFmtId="0" xfId="0" applyAlignment="1" applyFont="1">
      <alignment horizontal="center"/>
    </xf>
    <xf borderId="0" fillId="11" fontId="4" numFmtId="0" xfId="0" applyFont="1"/>
    <xf borderId="1" fillId="11" fontId="4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7.75"/>
    <col customWidth="1" min="3" max="3" width="14.13"/>
    <col customWidth="1" min="4" max="4" width="36.75"/>
    <col customWidth="1" min="5" max="5" width="12.75"/>
    <col customWidth="1" min="6" max="6" width="34.75"/>
    <col customWidth="1" min="7" max="7" width="16.0"/>
    <col customWidth="1" min="8" max="8" width="26.25"/>
    <col customWidth="1" min="9" max="9" width="25.63"/>
    <col customWidth="1" min="10" max="11" width="18.88"/>
    <col customWidth="1" min="12" max="14" width="20.5"/>
    <col customWidth="1" min="15" max="15" width="14.63"/>
    <col customWidth="1" min="16" max="16" width="16.5"/>
    <col customWidth="1" min="17" max="18" width="17.88"/>
    <col customWidth="1" min="19" max="19" width="14.25"/>
    <col customWidth="1" min="22" max="22" width="20.5"/>
    <col customWidth="1" min="23" max="2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9" t="s">
        <v>25</v>
      </c>
      <c r="AA1" s="6" t="s">
        <v>26</v>
      </c>
      <c r="AB1" s="10"/>
      <c r="AC1" s="10"/>
      <c r="AD1" s="10"/>
    </row>
    <row r="2">
      <c r="A2" s="11" t="s">
        <v>27</v>
      </c>
      <c r="B2" s="12" t="s">
        <v>28</v>
      </c>
      <c r="C2" s="13">
        <v>2.7</v>
      </c>
      <c r="D2" s="12" t="s">
        <v>29</v>
      </c>
      <c r="E2" s="13">
        <v>3.0</v>
      </c>
      <c r="F2" s="12" t="s">
        <v>30</v>
      </c>
      <c r="G2" s="14">
        <v>1.0</v>
      </c>
      <c r="H2" s="11" t="s">
        <v>31</v>
      </c>
      <c r="I2" s="13">
        <v>0.0</v>
      </c>
      <c r="J2" s="13">
        <v>0.0</v>
      </c>
      <c r="K2" s="15">
        <v>0.0</v>
      </c>
      <c r="L2" s="13">
        <v>0.3</v>
      </c>
      <c r="M2" s="13">
        <v>1.0</v>
      </c>
      <c r="N2" s="13">
        <v>0.5</v>
      </c>
      <c r="O2" s="13" t="b">
        <f t="shared" ref="O2:O64" si="1"> N2 &lt;= 0.1</f>
        <v>0</v>
      </c>
      <c r="P2" s="14">
        <f t="shared" ref="P2:P86" si="2"> L2 + M2 + N2</f>
        <v>1.8</v>
      </c>
      <c r="Q2" s="16">
        <f t="shared" ref="Q2:Q86" si="3">MAX(0.1, C2 * G2 * E2)</f>
        <v>8.1</v>
      </c>
      <c r="R2" s="16">
        <f t="shared" ref="R2:R86" si="4">MAX(0.1, (C2 - I2) * (G2 - K2) * (E2 - J2))</f>
        <v>8.1</v>
      </c>
      <c r="T2" s="17">
        <v>0.0</v>
      </c>
      <c r="U2" s="17">
        <v>0.0</v>
      </c>
      <c r="V2" s="17">
        <f t="shared" ref="V2:V140" si="5">T2 * U2
</f>
        <v>0</v>
      </c>
      <c r="W2" s="18">
        <f t="shared" ref="W2:W113" si="6"> (Q2-R2-V2) / Q2</f>
        <v>0</v>
      </c>
      <c r="X2" s="18">
        <f t="shared" ref="X2:X102" si="7"> (Q2-R2-V2) / P2</f>
        <v>0</v>
      </c>
      <c r="Y2" s="19">
        <f>IFERROR(__xludf.DUMMYFUNCTION("IF(ISNUMBER(W2),
   IFERROR( W2 / AVERAGE( FILTER($W$2:$W1031, $A$2:$A1031=$A2, ISNUMBER($W$2:$W1031)) ), 1 ),
"""")"),0.0)</f>
        <v>0</v>
      </c>
      <c r="Z2" s="20">
        <f>IFERROR(__xludf.DUMMYFUNCTION("IF(ISNUMBER(X2),
   IFERROR( X2 / AVERAGE( FILTER($X$2:$X1031, $A$2:$A1031=$A2, ISNUMBER($X$2:$X1031)) ), 1 ),
"""")"),0.0)</f>
        <v>0</v>
      </c>
      <c r="AA2" s="19">
        <f t="shared" ref="AA2:AA114" si="8">IF(AND(ISNUMBER(Y2), ISNUMBER(Z2)), Y2 + Z2, "")</f>
        <v>0</v>
      </c>
    </row>
    <row r="3">
      <c r="A3" s="21" t="s">
        <v>27</v>
      </c>
      <c r="B3" s="22" t="s">
        <v>28</v>
      </c>
      <c r="C3" s="23">
        <v>2.7</v>
      </c>
      <c r="D3" s="22" t="s">
        <v>29</v>
      </c>
      <c r="E3" s="23">
        <v>3.0</v>
      </c>
      <c r="F3" s="22" t="s">
        <v>30</v>
      </c>
      <c r="G3" s="24">
        <v>1.0</v>
      </c>
      <c r="H3" s="21" t="s">
        <v>32</v>
      </c>
      <c r="I3" s="23">
        <v>0.0</v>
      </c>
      <c r="J3" s="23">
        <v>0.0</v>
      </c>
      <c r="K3" s="25">
        <v>1.0</v>
      </c>
      <c r="L3" s="23">
        <v>0.0</v>
      </c>
      <c r="M3" s="23">
        <v>1.0</v>
      </c>
      <c r="N3" s="23">
        <v>0.0</v>
      </c>
      <c r="O3" s="23" t="b">
        <f t="shared" si="1"/>
        <v>1</v>
      </c>
      <c r="P3" s="24">
        <f t="shared" si="2"/>
        <v>1</v>
      </c>
      <c r="Q3" s="26">
        <f t="shared" si="3"/>
        <v>8.1</v>
      </c>
      <c r="R3" s="26">
        <f t="shared" si="4"/>
        <v>0.1</v>
      </c>
      <c r="T3" s="17">
        <v>0.0</v>
      </c>
      <c r="U3" s="17">
        <v>0.0</v>
      </c>
      <c r="V3" s="17">
        <f t="shared" si="5"/>
        <v>0</v>
      </c>
      <c r="W3" s="18">
        <f t="shared" si="6"/>
        <v>0.987654321</v>
      </c>
      <c r="X3" s="18">
        <f t="shared" si="7"/>
        <v>8</v>
      </c>
      <c r="Y3" s="27">
        <f>IFERROR(__xludf.DUMMYFUNCTION("IF(ISNUMBER(W3),
   IFERROR( W3 / AVERAGE( FILTER($W$2:$W1031, $A$2:$A1031=$A3, ISNUMBER($W$2:$W1031)) ), 1 ),
"""")"),1.5)</f>
        <v>1.5</v>
      </c>
      <c r="Z3" s="28">
        <f>IFERROR(__xludf.DUMMYFUNCTION("IF(ISNUMBER(X3),
   IFERROR( X3 / AVERAGE( FILTER($X$2:$X1031, $A$2:$A1031=$A3, ISNUMBER($X$2:$X1031)) ), 1 ),
"""")"),1.5)</f>
        <v>1.5</v>
      </c>
      <c r="AA3" s="27">
        <f t="shared" si="8"/>
        <v>3</v>
      </c>
    </row>
    <row r="4">
      <c r="A4" s="29" t="s">
        <v>27</v>
      </c>
      <c r="B4" s="30" t="s">
        <v>28</v>
      </c>
      <c r="C4" s="31">
        <v>2.7</v>
      </c>
      <c r="D4" s="30" t="s">
        <v>29</v>
      </c>
      <c r="E4" s="31">
        <v>3.0</v>
      </c>
      <c r="F4" s="30" t="s">
        <v>30</v>
      </c>
      <c r="G4" s="32">
        <v>1.0</v>
      </c>
      <c r="H4" s="33" t="s">
        <v>33</v>
      </c>
      <c r="I4" s="34">
        <v>0.0</v>
      </c>
      <c r="J4" s="34">
        <v>0.0</v>
      </c>
      <c r="K4" s="35">
        <v>1.0</v>
      </c>
      <c r="L4" s="34">
        <v>0.0</v>
      </c>
      <c r="M4" s="34">
        <v>1.0</v>
      </c>
      <c r="N4" s="34">
        <v>0.0</v>
      </c>
      <c r="O4" s="34" t="b">
        <f t="shared" si="1"/>
        <v>1</v>
      </c>
      <c r="P4" s="36">
        <f t="shared" si="2"/>
        <v>1</v>
      </c>
      <c r="Q4" s="37">
        <f t="shared" si="3"/>
        <v>8.1</v>
      </c>
      <c r="R4" s="37">
        <f t="shared" si="4"/>
        <v>0.1</v>
      </c>
      <c r="S4" s="38"/>
      <c r="T4" s="39">
        <v>0.0</v>
      </c>
      <c r="U4" s="39">
        <v>0.0</v>
      </c>
      <c r="V4" s="17">
        <f t="shared" si="5"/>
        <v>0</v>
      </c>
      <c r="W4" s="18">
        <f t="shared" si="6"/>
        <v>0.987654321</v>
      </c>
      <c r="X4" s="18">
        <f t="shared" si="7"/>
        <v>8</v>
      </c>
      <c r="Y4" s="27">
        <f>IFERROR(__xludf.DUMMYFUNCTION("IF(ISNUMBER(W4),
   IFERROR( W4 / AVERAGE( FILTER($W$2:$W1031, $A$2:$A1031=$A4, ISNUMBER($W$2:$W1031)) ), 1 ),
"""")"),1.5)</f>
        <v>1.5</v>
      </c>
      <c r="Z4" s="28">
        <f>IFERROR(__xludf.DUMMYFUNCTION("IF(ISNUMBER(X4),
   IFERROR( X4 / AVERAGE( FILTER($X$2:$X1031, $A$2:$A1031=$A4, ISNUMBER($X$2:$X1031)) ), 1 ),
"""")"),1.5)</f>
        <v>1.5</v>
      </c>
      <c r="AA4" s="27">
        <f t="shared" si="8"/>
        <v>3</v>
      </c>
      <c r="AB4" s="38"/>
      <c r="AC4" s="38"/>
      <c r="AD4" s="38"/>
    </row>
    <row r="5">
      <c r="A5" s="40"/>
      <c r="B5" s="41"/>
      <c r="C5" s="42"/>
      <c r="D5" s="41"/>
      <c r="E5" s="42"/>
      <c r="F5" s="41"/>
      <c r="G5" s="43"/>
      <c r="H5" s="44"/>
      <c r="I5" s="45"/>
      <c r="J5" s="45"/>
      <c r="K5" s="46"/>
      <c r="L5" s="45"/>
      <c r="M5" s="45"/>
      <c r="N5" s="45"/>
      <c r="O5" s="45" t="b">
        <f t="shared" si="1"/>
        <v>1</v>
      </c>
      <c r="P5" s="47">
        <f t="shared" si="2"/>
        <v>0</v>
      </c>
      <c r="Q5" s="48">
        <f t="shared" si="3"/>
        <v>0.1</v>
      </c>
      <c r="R5" s="48">
        <f t="shared" si="4"/>
        <v>0.1</v>
      </c>
      <c r="S5" s="38"/>
      <c r="T5" s="38"/>
      <c r="U5" s="38"/>
      <c r="V5" s="17">
        <f t="shared" si="5"/>
        <v>0</v>
      </c>
      <c r="W5" s="18">
        <f t="shared" si="6"/>
        <v>0</v>
      </c>
      <c r="X5" s="18" t="str">
        <f t="shared" si="7"/>
        <v>#DIV/0!</v>
      </c>
      <c r="Y5" s="49">
        <f>IFERROR(__xludf.DUMMYFUNCTION("IF(ISNUMBER(W5),
   IFERROR( W5 / AVERAGE( FILTER($W$2:$W1031, $A$2:$A1031=$A5, ISNUMBER($W$2:$W1031)) ), 1 ),
"""")"),1.0)</f>
        <v>1</v>
      </c>
      <c r="Z5" s="50" t="str">
        <f>IFERROR(__xludf.DUMMYFUNCTION("IF(ISNUMBER(X5),
   IFERROR( X5 / AVERAGE( FILTER($X$2:$X1031, $A$2:$A1031=$A5, ISNUMBER($X$2:$X1031)) ), 1 ),
"""")"),"")</f>
        <v/>
      </c>
      <c r="AA5" s="51" t="str">
        <f t="shared" si="8"/>
        <v/>
      </c>
      <c r="AB5" s="38"/>
      <c r="AC5" s="38"/>
      <c r="AD5" s="38"/>
    </row>
    <row r="6">
      <c r="A6" s="11" t="s">
        <v>34</v>
      </c>
      <c r="B6" s="12" t="s">
        <v>28</v>
      </c>
      <c r="C6" s="13">
        <v>2.7</v>
      </c>
      <c r="D6" s="12" t="s">
        <v>29</v>
      </c>
      <c r="E6" s="13">
        <v>3.0</v>
      </c>
      <c r="F6" s="12" t="s">
        <v>35</v>
      </c>
      <c r="G6" s="14">
        <v>2.0</v>
      </c>
      <c r="H6" s="11" t="s">
        <v>36</v>
      </c>
      <c r="I6" s="13">
        <v>0.0</v>
      </c>
      <c r="J6" s="13">
        <v>1.0</v>
      </c>
      <c r="K6" s="15">
        <v>0.0</v>
      </c>
      <c r="L6" s="13">
        <v>0.0</v>
      </c>
      <c r="M6" s="13">
        <v>1.0</v>
      </c>
      <c r="N6" s="13">
        <v>0.1</v>
      </c>
      <c r="O6" s="13" t="b">
        <f t="shared" si="1"/>
        <v>1</v>
      </c>
      <c r="P6" s="14">
        <f t="shared" si="2"/>
        <v>1.1</v>
      </c>
      <c r="Q6" s="16">
        <f t="shared" si="3"/>
        <v>16.2</v>
      </c>
      <c r="R6" s="16">
        <f t="shared" si="4"/>
        <v>10.8</v>
      </c>
      <c r="V6" s="17">
        <f t="shared" si="5"/>
        <v>0</v>
      </c>
      <c r="W6" s="18">
        <f t="shared" si="6"/>
        <v>0.3333333333</v>
      </c>
      <c r="X6" s="18">
        <f t="shared" si="7"/>
        <v>4.909090909</v>
      </c>
      <c r="Y6" s="18">
        <f>IFERROR(__xludf.DUMMYFUNCTION("IF(ISNUMBER(W6),
   IFERROR( W6 / AVERAGE( FILTER($W$2:$W1031, $A$2:$A1031=$A6, ISNUMBER($W$2:$W1031)) ), 1 ),
"""")"),0.502325581395349)</f>
        <v>0.5023255814</v>
      </c>
      <c r="Z6" s="52">
        <f>IFERROR(__xludf.DUMMYFUNCTION("IF(ISNUMBER(X6),
   IFERROR( X6 / AVERAGE( FILTER($X$2:$X1031, $A$2:$A1031=$A6, ISNUMBER($X$2:$X1031)) ), 1 ),
"""")"),0.7576289021396003)</f>
        <v>0.7576289021</v>
      </c>
      <c r="AA6" s="18">
        <f t="shared" si="8"/>
        <v>1.259954484</v>
      </c>
    </row>
    <row r="7">
      <c r="A7" s="21" t="s">
        <v>34</v>
      </c>
      <c r="B7" s="22" t="s">
        <v>28</v>
      </c>
      <c r="C7" s="23">
        <v>2.7</v>
      </c>
      <c r="D7" s="22" t="s">
        <v>29</v>
      </c>
      <c r="E7" s="23">
        <v>3.0</v>
      </c>
      <c r="F7" s="22" t="s">
        <v>35</v>
      </c>
      <c r="G7" s="24">
        <v>2.0</v>
      </c>
      <c r="H7" s="21" t="s">
        <v>37</v>
      </c>
      <c r="I7" s="23">
        <v>0.0</v>
      </c>
      <c r="J7" s="23">
        <v>0.0</v>
      </c>
      <c r="K7" s="25">
        <v>2.0</v>
      </c>
      <c r="L7" s="23">
        <v>1.0</v>
      </c>
      <c r="M7" s="23">
        <v>1.0</v>
      </c>
      <c r="N7" s="23">
        <v>0.0</v>
      </c>
      <c r="O7" s="23" t="b">
        <f t="shared" si="1"/>
        <v>1</v>
      </c>
      <c r="P7" s="24">
        <f t="shared" si="2"/>
        <v>2</v>
      </c>
      <c r="Q7" s="26">
        <f t="shared" si="3"/>
        <v>16.2</v>
      </c>
      <c r="R7" s="26">
        <f t="shared" si="4"/>
        <v>0.1</v>
      </c>
      <c r="V7" s="17">
        <f t="shared" si="5"/>
        <v>0</v>
      </c>
      <c r="W7" s="18">
        <f t="shared" si="6"/>
        <v>0.9938271605</v>
      </c>
      <c r="X7" s="18">
        <f t="shared" si="7"/>
        <v>8.05</v>
      </c>
      <c r="Y7" s="27">
        <f>IFERROR(__xludf.DUMMYFUNCTION("IF(ISNUMBER(W7),
   IFERROR( W7 / AVERAGE( FILTER($W$2:$W1031, $A$2:$A1031=$A7, ISNUMBER($W$2:$W1031)) ), 1 ),
"""")"),1.4976744186046511)</f>
        <v>1.497674419</v>
      </c>
      <c r="Z7" s="28">
        <f>IFERROR(__xludf.DUMMYFUNCTION("IF(ISNUMBER(X7),
   IFERROR( X7 / AVERAGE( FILTER($X$2:$X1031, $A$2:$A1031=$A7, ISNUMBER($X$2:$X1031)) ), 1 ),
"""")"),1.2423710978604)</f>
        <v>1.242371098</v>
      </c>
      <c r="AA7" s="27">
        <f t="shared" si="8"/>
        <v>2.740045516</v>
      </c>
    </row>
    <row r="8">
      <c r="A8" s="53"/>
      <c r="B8" s="54"/>
      <c r="C8" s="55"/>
      <c r="D8" s="54"/>
      <c r="E8" s="55"/>
      <c r="F8" s="54"/>
      <c r="G8" s="56"/>
      <c r="H8" s="53"/>
      <c r="I8" s="55"/>
      <c r="J8" s="55"/>
      <c r="K8" s="57"/>
      <c r="L8" s="55"/>
      <c r="M8" s="55"/>
      <c r="N8" s="55"/>
      <c r="O8" s="55" t="b">
        <f t="shared" si="1"/>
        <v>1</v>
      </c>
      <c r="P8" s="56">
        <f t="shared" si="2"/>
        <v>0</v>
      </c>
      <c r="Q8" s="58">
        <f t="shared" si="3"/>
        <v>0.1</v>
      </c>
      <c r="R8" s="58">
        <f t="shared" si="4"/>
        <v>0.1</v>
      </c>
      <c r="S8" s="59"/>
      <c r="T8" s="59"/>
      <c r="U8" s="59"/>
      <c r="V8" s="17">
        <f t="shared" si="5"/>
        <v>0</v>
      </c>
      <c r="W8" s="18">
        <f t="shared" si="6"/>
        <v>0</v>
      </c>
      <c r="X8" s="18" t="str">
        <f t="shared" si="7"/>
        <v>#DIV/0!</v>
      </c>
      <c r="Y8" s="49">
        <f>IFERROR(__xludf.DUMMYFUNCTION("IF(ISNUMBER(W8),
   IFERROR( W8 / AVERAGE( FILTER($W$2:$W1031, $A$2:$A1031=$A8, ISNUMBER($W$2:$W1031)) ), 1 ),
"""")"),1.0)</f>
        <v>1</v>
      </c>
      <c r="Z8" s="50" t="str">
        <f>IFERROR(__xludf.DUMMYFUNCTION("IF(ISNUMBER(X8),
   IFERROR( X8 / AVERAGE( FILTER($X$2:$X1031, $A$2:$A1031=$A8, ISNUMBER($X$2:$X1031)) ), 1 ),
"""")"),"")</f>
        <v/>
      </c>
      <c r="AA8" s="51" t="str">
        <f t="shared" si="8"/>
        <v/>
      </c>
      <c r="AB8" s="59"/>
      <c r="AC8" s="59"/>
      <c r="AD8" s="59"/>
    </row>
    <row r="9">
      <c r="A9" s="11" t="s">
        <v>38</v>
      </c>
      <c r="B9" s="12" t="s">
        <v>28</v>
      </c>
      <c r="C9" s="13">
        <v>2.7</v>
      </c>
      <c r="D9" s="12" t="s">
        <v>39</v>
      </c>
      <c r="E9" s="13">
        <v>2.0</v>
      </c>
      <c r="F9" s="12" t="s">
        <v>40</v>
      </c>
      <c r="G9" s="14">
        <v>3.0</v>
      </c>
      <c r="H9" s="11" t="s">
        <v>41</v>
      </c>
      <c r="I9" s="13">
        <v>0.0</v>
      </c>
      <c r="J9" s="13">
        <v>1.0</v>
      </c>
      <c r="K9" s="15">
        <v>0.0</v>
      </c>
      <c r="L9" s="13">
        <v>1.0</v>
      </c>
      <c r="M9" s="13">
        <v>1.0</v>
      </c>
      <c r="N9" s="13">
        <v>0.1</v>
      </c>
      <c r="O9" s="13" t="b">
        <f t="shared" si="1"/>
        <v>1</v>
      </c>
      <c r="P9" s="14">
        <f t="shared" si="2"/>
        <v>2.1</v>
      </c>
      <c r="Q9" s="16">
        <f t="shared" si="3"/>
        <v>16.2</v>
      </c>
      <c r="R9" s="16">
        <f t="shared" si="4"/>
        <v>8.1</v>
      </c>
      <c r="V9" s="17">
        <f t="shared" si="5"/>
        <v>0</v>
      </c>
      <c r="W9" s="18">
        <f t="shared" si="6"/>
        <v>0.5</v>
      </c>
      <c r="X9" s="18">
        <f t="shared" si="7"/>
        <v>3.857142857</v>
      </c>
      <c r="Y9" s="18">
        <f>IFERROR(__xludf.DUMMYFUNCTION("IF(ISNUMBER(W9),
   IFERROR( W9 / AVERAGE( FILTER($W$2:$W1031, $A$2:$A1031=$A9, ISNUMBER($W$2:$W1031)) ), 1 ),
"""")"),0.7523219814241485)</f>
        <v>0.7523219814</v>
      </c>
      <c r="Z9" s="52">
        <f>IFERROR(__xludf.DUMMYFUNCTION("IF(ISNUMBER(X9),
   IFERROR( X9 / AVERAGE( FILTER($X$2:$X1031, $A$2:$A1031=$A9, ISNUMBER($X$2:$X1031)) ), 1 ),
"""")"),0.6946164840400192)</f>
        <v>0.694616484</v>
      </c>
      <c r="AA9" s="18">
        <f t="shared" si="8"/>
        <v>1.446938465</v>
      </c>
    </row>
    <row r="10">
      <c r="A10" s="60" t="s">
        <v>38</v>
      </c>
      <c r="B10" s="61" t="s">
        <v>28</v>
      </c>
      <c r="C10" s="62">
        <v>2.7</v>
      </c>
      <c r="D10" s="61" t="s">
        <v>39</v>
      </c>
      <c r="E10" s="62">
        <v>2.0</v>
      </c>
      <c r="F10" s="63" t="s">
        <v>40</v>
      </c>
      <c r="G10" s="64">
        <v>3.0</v>
      </c>
      <c r="H10" s="60" t="s">
        <v>42</v>
      </c>
      <c r="I10" s="65">
        <v>0.0</v>
      </c>
      <c r="J10" s="65">
        <v>1.0</v>
      </c>
      <c r="K10" s="66">
        <v>0.0</v>
      </c>
      <c r="L10" s="65">
        <v>1.0</v>
      </c>
      <c r="M10" s="65">
        <v>1.0</v>
      </c>
      <c r="N10" s="65">
        <v>0.1</v>
      </c>
      <c r="O10" s="65" t="b">
        <f t="shared" si="1"/>
        <v>1</v>
      </c>
      <c r="P10" s="67">
        <f t="shared" si="2"/>
        <v>2.1</v>
      </c>
      <c r="Q10" s="68">
        <f t="shared" si="3"/>
        <v>16.2</v>
      </c>
      <c r="R10" s="68">
        <f t="shared" si="4"/>
        <v>8.1</v>
      </c>
      <c r="S10" s="38"/>
      <c r="T10" s="38"/>
      <c r="U10" s="38"/>
      <c r="V10" s="17">
        <f t="shared" si="5"/>
        <v>0</v>
      </c>
      <c r="W10" s="18">
        <f t="shared" si="6"/>
        <v>0.5</v>
      </c>
      <c r="X10" s="18">
        <f t="shared" si="7"/>
        <v>3.857142857</v>
      </c>
      <c r="Y10" s="18">
        <f>IFERROR(__xludf.DUMMYFUNCTION("IF(ISNUMBER(W10),
   IFERROR( W10 / AVERAGE( FILTER($W$2:$W1031, $A$2:$A1031=$A10, ISNUMBER($W$2:$W1031)) ), 1 ),
"""")"),0.7523219814241485)</f>
        <v>0.7523219814</v>
      </c>
      <c r="Z10" s="52">
        <f>IFERROR(__xludf.DUMMYFUNCTION("IF(ISNUMBER(X10),
   IFERROR( X10 / AVERAGE( FILTER($X$2:$X1031, $A$2:$A1031=$A10, ISNUMBER($X$2:$X1031)) ), 1 ),
"""")"),0.6946164840400192)</f>
        <v>0.694616484</v>
      </c>
      <c r="AA10" s="18">
        <f t="shared" si="8"/>
        <v>1.446938465</v>
      </c>
      <c r="AB10" s="38"/>
      <c r="AC10" s="38"/>
      <c r="AD10" s="38"/>
    </row>
    <row r="11">
      <c r="A11" s="33" t="s">
        <v>38</v>
      </c>
      <c r="B11" s="30" t="s">
        <v>28</v>
      </c>
      <c r="C11" s="31">
        <v>2.7</v>
      </c>
      <c r="D11" s="30" t="s">
        <v>39</v>
      </c>
      <c r="E11" s="31">
        <v>2.0</v>
      </c>
      <c r="F11" s="69" t="s">
        <v>40</v>
      </c>
      <c r="G11" s="32">
        <v>3.0</v>
      </c>
      <c r="H11" s="33" t="s">
        <v>43</v>
      </c>
      <c r="I11" s="34">
        <v>0.0</v>
      </c>
      <c r="J11" s="34">
        <v>2.0</v>
      </c>
      <c r="K11" s="35">
        <v>0.0</v>
      </c>
      <c r="L11" s="34">
        <v>0.3</v>
      </c>
      <c r="M11" s="34">
        <v>1.0</v>
      </c>
      <c r="N11" s="34">
        <v>0.5</v>
      </c>
      <c r="O11" s="34" t="b">
        <f t="shared" si="1"/>
        <v>0</v>
      </c>
      <c r="P11" s="36">
        <f t="shared" si="2"/>
        <v>1.8</v>
      </c>
      <c r="Q11" s="37">
        <f t="shared" si="3"/>
        <v>16.2</v>
      </c>
      <c r="R11" s="37">
        <f t="shared" si="4"/>
        <v>0.1</v>
      </c>
      <c r="S11" s="38"/>
      <c r="T11" s="38"/>
      <c r="U11" s="38"/>
      <c r="V11" s="17">
        <f t="shared" si="5"/>
        <v>0</v>
      </c>
      <c r="W11" s="18">
        <f t="shared" si="6"/>
        <v>0.9938271605</v>
      </c>
      <c r="X11" s="18">
        <f t="shared" si="7"/>
        <v>8.944444444</v>
      </c>
      <c r="Y11" s="27">
        <f>IFERROR(__xludf.DUMMYFUNCTION("IF(ISNUMBER(W11),
   IFERROR( W11 / AVERAGE( FILTER($W$2:$W1031, $A$2:$A1031=$A11, ISNUMBER($W$2:$W1031)) ), 1 ),
"""")"),1.4953560371517025)</f>
        <v>1.495356037</v>
      </c>
      <c r="Z11" s="28">
        <f>IFERROR(__xludf.DUMMYFUNCTION("IF(ISNUMBER(X11),
   IFERROR( X11 / AVERAGE( FILTER($X$2:$X1031, $A$2:$A1031=$A11, ISNUMBER($X$2:$X1031)) ), 1 ),
"""")"),1.6107670319199618)</f>
        <v>1.610767032</v>
      </c>
      <c r="AA11" s="27">
        <f t="shared" si="8"/>
        <v>3.106123069</v>
      </c>
      <c r="AB11" s="38"/>
      <c r="AC11" s="38"/>
      <c r="AD11" s="38"/>
    </row>
    <row r="12">
      <c r="A12" s="53"/>
      <c r="B12" s="54"/>
      <c r="C12" s="55"/>
      <c r="D12" s="54"/>
      <c r="E12" s="55"/>
      <c r="F12" s="54"/>
      <c r="G12" s="56"/>
      <c r="H12" s="53"/>
      <c r="I12" s="55"/>
      <c r="J12" s="55"/>
      <c r="K12" s="57"/>
      <c r="L12" s="55"/>
      <c r="M12" s="55"/>
      <c r="N12" s="55"/>
      <c r="O12" s="55" t="b">
        <f t="shared" si="1"/>
        <v>1</v>
      </c>
      <c r="P12" s="56">
        <f t="shared" si="2"/>
        <v>0</v>
      </c>
      <c r="Q12" s="58">
        <f t="shared" si="3"/>
        <v>0.1</v>
      </c>
      <c r="R12" s="58">
        <f t="shared" si="4"/>
        <v>0.1</v>
      </c>
      <c r="V12" s="17">
        <f t="shared" si="5"/>
        <v>0</v>
      </c>
      <c r="W12" s="18">
        <f t="shared" si="6"/>
        <v>0</v>
      </c>
      <c r="X12" s="18" t="str">
        <f t="shared" si="7"/>
        <v>#DIV/0!</v>
      </c>
      <c r="Y12" s="49">
        <f>IFERROR(__xludf.DUMMYFUNCTION("IF(ISNUMBER(W12),
   IFERROR( W12 / AVERAGE( FILTER($W$2:$W1031, $A$2:$A1031=$A12, ISNUMBER($W$2:$W1031)) ), 1 ),
"""")"),1.0)</f>
        <v>1</v>
      </c>
      <c r="Z12" s="50" t="str">
        <f>IFERROR(__xludf.DUMMYFUNCTION("IF(ISNUMBER(X12),
   IFERROR( X12 / AVERAGE( FILTER($X$2:$X1031, $A$2:$A1031=$A12, ISNUMBER($X$2:$X1031)) ), 1 ),
"""")"),"")</f>
        <v/>
      </c>
      <c r="AA12" s="51" t="str">
        <f t="shared" si="8"/>
        <v/>
      </c>
    </row>
    <row r="13">
      <c r="A13" s="11" t="s">
        <v>44</v>
      </c>
      <c r="B13" s="12" t="s">
        <v>28</v>
      </c>
      <c r="C13" s="13">
        <v>2.7</v>
      </c>
      <c r="D13" s="12" t="s">
        <v>45</v>
      </c>
      <c r="E13" s="13">
        <v>2.0</v>
      </c>
      <c r="F13" s="12" t="s">
        <v>46</v>
      </c>
      <c r="G13" s="14">
        <v>3.0</v>
      </c>
      <c r="H13" s="11" t="s">
        <v>43</v>
      </c>
      <c r="I13" s="13">
        <v>0.0</v>
      </c>
      <c r="J13" s="13">
        <v>2.0</v>
      </c>
      <c r="K13" s="15">
        <v>0.0</v>
      </c>
      <c r="L13" s="13">
        <v>0.3</v>
      </c>
      <c r="M13" s="13">
        <v>1.0</v>
      </c>
      <c r="N13" s="13">
        <v>0.5</v>
      </c>
      <c r="O13" s="13" t="b">
        <f t="shared" si="1"/>
        <v>0</v>
      </c>
      <c r="P13" s="14">
        <f t="shared" si="2"/>
        <v>1.8</v>
      </c>
      <c r="Q13" s="16">
        <f t="shared" si="3"/>
        <v>16.2</v>
      </c>
      <c r="R13" s="16">
        <f t="shared" si="4"/>
        <v>0.1</v>
      </c>
      <c r="V13" s="17">
        <f t="shared" si="5"/>
        <v>0</v>
      </c>
      <c r="W13" s="18">
        <f t="shared" si="6"/>
        <v>0.9938271605</v>
      </c>
      <c r="X13" s="18">
        <f t="shared" si="7"/>
        <v>8.944444444</v>
      </c>
      <c r="Y13" s="18">
        <f>IFERROR(__xludf.DUMMYFUNCTION("IF(ISNUMBER(W13),
   IFERROR( W13 / AVERAGE( FILTER($W$2:$W1031, $A$2:$A1031=$A13, ISNUMBER($W$2:$W1031)) ), 1 ),
"""")"),1.0320512820512822)</f>
        <v>1.032051282</v>
      </c>
      <c r="Z13" s="52">
        <f>IFERROR(__xludf.DUMMYFUNCTION("IF(ISNUMBER(X13),
   IFERROR( X13 / AVERAGE( FILTER($X$2:$X1031, $A$2:$A1031=$A13, ISNUMBER($X$2:$X1031)) ), 1 ),
"""")"),0.743992606284658)</f>
        <v>0.7439926063</v>
      </c>
      <c r="AA13" s="18">
        <f t="shared" si="8"/>
        <v>1.776043888</v>
      </c>
    </row>
    <row r="14">
      <c r="A14" s="21" t="s">
        <v>44</v>
      </c>
      <c r="B14" s="22" t="s">
        <v>28</v>
      </c>
      <c r="C14" s="23">
        <v>2.7</v>
      </c>
      <c r="D14" s="22" t="s">
        <v>45</v>
      </c>
      <c r="E14" s="23">
        <v>2.0</v>
      </c>
      <c r="F14" s="22" t="s">
        <v>46</v>
      </c>
      <c r="G14" s="24">
        <v>3.0</v>
      </c>
      <c r="H14" s="21" t="s">
        <v>47</v>
      </c>
      <c r="I14" s="23">
        <v>0.0</v>
      </c>
      <c r="J14" s="23">
        <v>0.0</v>
      </c>
      <c r="K14" s="25">
        <v>3.0</v>
      </c>
      <c r="L14" s="23">
        <v>0.0</v>
      </c>
      <c r="M14" s="23">
        <v>1.0</v>
      </c>
      <c r="N14" s="23">
        <v>0.0</v>
      </c>
      <c r="O14" s="23" t="b">
        <f t="shared" si="1"/>
        <v>1</v>
      </c>
      <c r="P14" s="24">
        <f t="shared" si="2"/>
        <v>1</v>
      </c>
      <c r="Q14" s="26">
        <f t="shared" si="3"/>
        <v>16.2</v>
      </c>
      <c r="R14" s="26">
        <f t="shared" si="4"/>
        <v>0.1</v>
      </c>
      <c r="S14" s="17" t="s">
        <v>48</v>
      </c>
      <c r="T14" s="17">
        <v>1.0</v>
      </c>
      <c r="U14" s="17">
        <v>1.0</v>
      </c>
      <c r="V14" s="17">
        <f t="shared" si="5"/>
        <v>1</v>
      </c>
      <c r="W14" s="18">
        <f t="shared" si="6"/>
        <v>0.9320987654</v>
      </c>
      <c r="X14" s="18">
        <f t="shared" si="7"/>
        <v>15.1</v>
      </c>
      <c r="Y14" s="27">
        <f>IFERROR(__xludf.DUMMYFUNCTION("IF(ISNUMBER(W14),
   IFERROR( W14 / AVERAGE( FILTER($W$2:$W1031, $A$2:$A1031=$A14, ISNUMBER($W$2:$W1031)) ), 1 ),
"""")"),0.9679487179487181)</f>
        <v>0.9679487179</v>
      </c>
      <c r="Z14" s="28">
        <f>IFERROR(__xludf.DUMMYFUNCTION("IF(ISNUMBER(X14),
   IFERROR( X14 / AVERAGE( FILTER($X$2:$X1031, $A$2:$A1031=$A14, ISNUMBER($X$2:$X1031)) ), 1 ),
"""")"),1.256007393715342)</f>
        <v>1.256007394</v>
      </c>
      <c r="AA14" s="27">
        <f t="shared" si="8"/>
        <v>2.223956112</v>
      </c>
    </row>
    <row r="15">
      <c r="A15" s="53"/>
      <c r="B15" s="54"/>
      <c r="C15" s="55"/>
      <c r="D15" s="54"/>
      <c r="E15" s="55"/>
      <c r="F15" s="54"/>
      <c r="G15" s="56"/>
      <c r="H15" s="70"/>
      <c r="I15" s="58"/>
      <c r="J15" s="58"/>
      <c r="K15" s="71"/>
      <c r="L15" s="58"/>
      <c r="M15" s="58"/>
      <c r="N15" s="58"/>
      <c r="O15" s="58" t="b">
        <f t="shared" si="1"/>
        <v>1</v>
      </c>
      <c r="P15" s="72">
        <f t="shared" si="2"/>
        <v>0</v>
      </c>
      <c r="Q15" s="58">
        <f t="shared" si="3"/>
        <v>0.1</v>
      </c>
      <c r="R15" s="58">
        <f t="shared" si="4"/>
        <v>0.1</v>
      </c>
      <c r="V15" s="17">
        <f t="shared" si="5"/>
        <v>0</v>
      </c>
      <c r="W15" s="18">
        <f t="shared" si="6"/>
        <v>0</v>
      </c>
      <c r="X15" s="18" t="str">
        <f t="shared" si="7"/>
        <v>#DIV/0!</v>
      </c>
      <c r="Y15" s="49">
        <f>IFERROR(__xludf.DUMMYFUNCTION("IF(ISNUMBER(W15),
   IFERROR( W15 / AVERAGE( FILTER($W$2:$W1031, $A$2:$A1031=$A15, ISNUMBER($W$2:$W1031)) ), 1 ),
"""")"),1.0)</f>
        <v>1</v>
      </c>
      <c r="Z15" s="50" t="str">
        <f>IFERROR(__xludf.DUMMYFUNCTION("IF(ISNUMBER(X15),
   IFERROR( X15 / AVERAGE( FILTER($X$2:$X1031, $A$2:$A1031=$A15, ISNUMBER($X$2:$X1031)) ), 1 ),
"""")"),"")</f>
        <v/>
      </c>
      <c r="AA15" s="51" t="str">
        <f t="shared" si="8"/>
        <v/>
      </c>
    </row>
    <row r="16">
      <c r="A16" s="21" t="s">
        <v>49</v>
      </c>
      <c r="B16" s="22" t="s">
        <v>50</v>
      </c>
      <c r="C16" s="23">
        <v>2.0</v>
      </c>
      <c r="D16" s="22" t="s">
        <v>29</v>
      </c>
      <c r="E16" s="23">
        <v>2.0</v>
      </c>
      <c r="F16" s="22" t="s">
        <v>51</v>
      </c>
      <c r="G16" s="24">
        <v>2.0</v>
      </c>
      <c r="H16" s="21" t="s">
        <v>52</v>
      </c>
      <c r="I16" s="23">
        <v>0.7</v>
      </c>
      <c r="J16" s="23">
        <v>1.0</v>
      </c>
      <c r="K16" s="25">
        <v>0.0</v>
      </c>
      <c r="L16" s="23">
        <v>0.0</v>
      </c>
      <c r="M16" s="23">
        <v>1.0</v>
      </c>
      <c r="N16" s="23">
        <v>0.0</v>
      </c>
      <c r="O16" s="23" t="b">
        <f t="shared" si="1"/>
        <v>1</v>
      </c>
      <c r="P16" s="24">
        <f t="shared" si="2"/>
        <v>1</v>
      </c>
      <c r="Q16" s="26">
        <f t="shared" si="3"/>
        <v>8</v>
      </c>
      <c r="R16" s="26">
        <f t="shared" si="4"/>
        <v>2.6</v>
      </c>
      <c r="V16" s="17">
        <f t="shared" si="5"/>
        <v>0</v>
      </c>
      <c r="W16" s="18">
        <f t="shared" si="6"/>
        <v>0.675</v>
      </c>
      <c r="X16" s="18">
        <f t="shared" si="7"/>
        <v>5.4</v>
      </c>
      <c r="Y16" s="27">
        <f>IFERROR(__xludf.DUMMYFUNCTION("IF(ISNUMBER(W16),
   IFERROR( W16 / AVERAGE( FILTER($W$2:$W1031, $A$2:$A1031=$A16, ISNUMBER($W$2:$W1031)) ), 1 ),
"""")"),0.8120300751879699)</f>
        <v>0.8120300752</v>
      </c>
      <c r="Z16" s="28">
        <f>IFERROR(__xludf.DUMMYFUNCTION("IF(ISNUMBER(X16),
   IFERROR( X16 / AVERAGE( FILTER($X$2:$X1031, $A$2:$A1031=$A16, ISNUMBER($X$2:$X1031)) ), 1 ),
"""")"),1.1550802139037433)</f>
        <v>1.155080214</v>
      </c>
      <c r="AA16" s="27">
        <f t="shared" si="8"/>
        <v>1.967110289</v>
      </c>
    </row>
    <row r="17">
      <c r="A17" s="11" t="s">
        <v>49</v>
      </c>
      <c r="B17" s="12" t="s">
        <v>50</v>
      </c>
      <c r="C17" s="13">
        <v>2.0</v>
      </c>
      <c r="D17" s="12" t="s">
        <v>29</v>
      </c>
      <c r="E17" s="13">
        <v>2.0</v>
      </c>
      <c r="F17" s="12" t="s">
        <v>51</v>
      </c>
      <c r="G17" s="14">
        <v>2.0</v>
      </c>
      <c r="H17" s="11" t="s">
        <v>53</v>
      </c>
      <c r="I17" s="13">
        <v>0.0</v>
      </c>
      <c r="J17" s="13">
        <v>0.0</v>
      </c>
      <c r="K17" s="15">
        <v>2.0</v>
      </c>
      <c r="L17" s="13">
        <v>1.0</v>
      </c>
      <c r="M17" s="13">
        <v>1.0</v>
      </c>
      <c r="N17" s="13">
        <v>0.0</v>
      </c>
      <c r="O17" s="13" t="b">
        <f t="shared" si="1"/>
        <v>1</v>
      </c>
      <c r="P17" s="14">
        <f t="shared" si="2"/>
        <v>2</v>
      </c>
      <c r="Q17" s="16">
        <f t="shared" si="3"/>
        <v>8</v>
      </c>
      <c r="R17" s="16">
        <f t="shared" si="4"/>
        <v>0.1</v>
      </c>
      <c r="V17" s="17">
        <f t="shared" si="5"/>
        <v>0</v>
      </c>
      <c r="W17" s="18">
        <f t="shared" si="6"/>
        <v>0.9875</v>
      </c>
      <c r="X17" s="18">
        <f t="shared" si="7"/>
        <v>3.95</v>
      </c>
      <c r="Y17" s="18">
        <f>IFERROR(__xludf.DUMMYFUNCTION("IF(ISNUMBER(W17),
   IFERROR( W17 / AVERAGE( FILTER($W$2:$W1031, $A$2:$A1031=$A17, ISNUMBER($W$2:$W1031)) ), 1 ),
"""")"),1.1879699248120301)</f>
        <v>1.187969925</v>
      </c>
      <c r="Z17" s="52">
        <f>IFERROR(__xludf.DUMMYFUNCTION("IF(ISNUMBER(X17),
   IFERROR( X17 / AVERAGE( FILTER($X$2:$X1031, $A$2:$A1031=$A17, ISNUMBER($X$2:$X1031)) ), 1 ),
"""")"),0.8449197860962566)</f>
        <v>0.8449197861</v>
      </c>
      <c r="AA17" s="18">
        <f t="shared" si="8"/>
        <v>2.032889711</v>
      </c>
    </row>
    <row r="18">
      <c r="A18" s="53"/>
      <c r="B18" s="54"/>
      <c r="C18" s="55"/>
      <c r="D18" s="54"/>
      <c r="E18" s="55"/>
      <c r="F18" s="54"/>
      <c r="G18" s="56"/>
      <c r="H18" s="53"/>
      <c r="I18" s="55"/>
      <c r="J18" s="55"/>
      <c r="K18" s="57"/>
      <c r="L18" s="55"/>
      <c r="M18" s="55"/>
      <c r="N18" s="55"/>
      <c r="O18" s="55" t="b">
        <f t="shared" si="1"/>
        <v>1</v>
      </c>
      <c r="P18" s="56">
        <f t="shared" si="2"/>
        <v>0</v>
      </c>
      <c r="Q18" s="58">
        <f t="shared" si="3"/>
        <v>0.1</v>
      </c>
      <c r="R18" s="58">
        <f t="shared" si="4"/>
        <v>0.1</v>
      </c>
      <c r="V18" s="17">
        <f t="shared" si="5"/>
        <v>0</v>
      </c>
      <c r="W18" s="18">
        <f t="shared" si="6"/>
        <v>0</v>
      </c>
      <c r="X18" s="18" t="str">
        <f t="shared" si="7"/>
        <v>#DIV/0!</v>
      </c>
      <c r="Y18" s="49">
        <f>IFERROR(__xludf.DUMMYFUNCTION("IF(ISNUMBER(W18),
   IFERROR( W18 / AVERAGE( FILTER($W$2:$W1031, $A$2:$A1031=$A18, ISNUMBER($W$2:$W1031)) ), 1 ),
"""")"),1.0)</f>
        <v>1</v>
      </c>
      <c r="Z18" s="50" t="str">
        <f>IFERROR(__xludf.DUMMYFUNCTION("IF(ISNUMBER(X18),
   IFERROR( X18 / AVERAGE( FILTER($X$2:$X1031, $A$2:$A1031=$A18, ISNUMBER($X$2:$X1031)) ), 1 ),
"""")"),"")</f>
        <v/>
      </c>
      <c r="AA18" s="51" t="str">
        <f t="shared" si="8"/>
        <v/>
      </c>
    </row>
    <row r="19">
      <c r="A19" s="21" t="s">
        <v>54</v>
      </c>
      <c r="B19" s="22" t="s">
        <v>50</v>
      </c>
      <c r="C19" s="23">
        <v>2.0</v>
      </c>
      <c r="D19" s="22" t="s">
        <v>55</v>
      </c>
      <c r="E19" s="23">
        <v>2.0</v>
      </c>
      <c r="F19" s="22" t="s">
        <v>56</v>
      </c>
      <c r="G19" s="24">
        <v>1.0</v>
      </c>
      <c r="H19" s="21" t="s">
        <v>57</v>
      </c>
      <c r="I19" s="23">
        <v>0.0</v>
      </c>
      <c r="J19" s="23">
        <v>0.0</v>
      </c>
      <c r="K19" s="25">
        <v>2.0</v>
      </c>
      <c r="L19" s="23">
        <v>0.0</v>
      </c>
      <c r="M19" s="23">
        <v>1.0</v>
      </c>
      <c r="N19" s="23">
        <v>0.0</v>
      </c>
      <c r="O19" s="23" t="b">
        <f t="shared" si="1"/>
        <v>1</v>
      </c>
      <c r="P19" s="24">
        <f t="shared" si="2"/>
        <v>1</v>
      </c>
      <c r="Q19" s="26">
        <f t="shared" si="3"/>
        <v>4</v>
      </c>
      <c r="R19" s="26">
        <f t="shared" si="4"/>
        <v>0.1</v>
      </c>
      <c r="V19" s="17">
        <f t="shared" si="5"/>
        <v>0</v>
      </c>
      <c r="W19" s="18">
        <f t="shared" si="6"/>
        <v>0.975</v>
      </c>
      <c r="X19" s="18">
        <f t="shared" si="7"/>
        <v>3.9</v>
      </c>
      <c r="Y19" s="27">
        <f>IFERROR(__xludf.DUMMYFUNCTION("IF(ISNUMBER(W19),
   IFERROR( W19 / AVERAGE( FILTER($W$2:$W1031, $A$2:$A1031=$A19, ISNUMBER($W$2:$W1031)) ), 1 ),
"""")"),1.0)</f>
        <v>1</v>
      </c>
      <c r="Z19" s="28">
        <f>IFERROR(__xludf.DUMMYFUNCTION("IF(ISNUMBER(X19),
   IFERROR( X19 / AVERAGE( FILTER($X$2:$X1031, $A$2:$A1031=$A19, ISNUMBER($X$2:$X1031)) ), 1 ),
"""")"),1.3333333333333335)</f>
        <v>1.333333333</v>
      </c>
      <c r="AA19" s="27">
        <f t="shared" si="8"/>
        <v>2.333333333</v>
      </c>
    </row>
    <row r="20">
      <c r="A20" s="11" t="s">
        <v>54</v>
      </c>
      <c r="B20" s="12" t="s">
        <v>50</v>
      </c>
      <c r="C20" s="13">
        <v>2.0</v>
      </c>
      <c r="D20" s="12" t="s">
        <v>55</v>
      </c>
      <c r="E20" s="13">
        <v>2.0</v>
      </c>
      <c r="F20" s="12" t="s">
        <v>56</v>
      </c>
      <c r="G20" s="14">
        <v>1.0</v>
      </c>
      <c r="H20" s="11" t="s">
        <v>53</v>
      </c>
      <c r="I20" s="13">
        <v>0.0</v>
      </c>
      <c r="J20" s="13">
        <v>0.0</v>
      </c>
      <c r="K20" s="15">
        <v>2.0</v>
      </c>
      <c r="L20" s="13">
        <v>1.0</v>
      </c>
      <c r="M20" s="13">
        <v>1.0</v>
      </c>
      <c r="N20" s="13">
        <v>0.0</v>
      </c>
      <c r="O20" s="13" t="b">
        <f t="shared" si="1"/>
        <v>1</v>
      </c>
      <c r="P20" s="14">
        <f t="shared" si="2"/>
        <v>2</v>
      </c>
      <c r="Q20" s="16">
        <f t="shared" si="3"/>
        <v>4</v>
      </c>
      <c r="R20" s="16">
        <f t="shared" si="4"/>
        <v>0.1</v>
      </c>
      <c r="V20" s="17">
        <f t="shared" si="5"/>
        <v>0</v>
      </c>
      <c r="W20" s="18">
        <f t="shared" si="6"/>
        <v>0.975</v>
      </c>
      <c r="X20" s="18">
        <f t="shared" si="7"/>
        <v>1.95</v>
      </c>
      <c r="Y20" s="18">
        <f>IFERROR(__xludf.DUMMYFUNCTION("IF(ISNUMBER(W20),
   IFERROR( W20 / AVERAGE( FILTER($W$2:$W1031, $A$2:$A1031=$A20, ISNUMBER($W$2:$W1031)) ), 1 ),
"""")"),1.0)</f>
        <v>1</v>
      </c>
      <c r="Z20" s="52">
        <f>IFERROR(__xludf.DUMMYFUNCTION("IF(ISNUMBER(X20),
   IFERROR( X20 / AVERAGE( FILTER($X$2:$X1031, $A$2:$A1031=$A20, ISNUMBER($X$2:$X1031)) ), 1 ),
"""")"),0.6666666666666667)</f>
        <v>0.6666666667</v>
      </c>
      <c r="AA20" s="18">
        <f t="shared" si="8"/>
        <v>1.666666667</v>
      </c>
    </row>
    <row r="21">
      <c r="A21" s="53"/>
      <c r="B21" s="54"/>
      <c r="C21" s="55"/>
      <c r="D21" s="54"/>
      <c r="E21" s="55"/>
      <c r="F21" s="54"/>
      <c r="G21" s="56"/>
      <c r="H21" s="53"/>
      <c r="I21" s="55"/>
      <c r="J21" s="55"/>
      <c r="K21" s="57"/>
      <c r="L21" s="55"/>
      <c r="M21" s="55"/>
      <c r="N21" s="55"/>
      <c r="O21" s="55" t="b">
        <f t="shared" si="1"/>
        <v>1</v>
      </c>
      <c r="P21" s="56">
        <f t="shared" si="2"/>
        <v>0</v>
      </c>
      <c r="Q21" s="58">
        <f t="shared" si="3"/>
        <v>0.1</v>
      </c>
      <c r="R21" s="58">
        <f t="shared" si="4"/>
        <v>0.1</v>
      </c>
      <c r="V21" s="17">
        <f t="shared" si="5"/>
        <v>0</v>
      </c>
      <c r="W21" s="18">
        <f t="shared" si="6"/>
        <v>0</v>
      </c>
      <c r="X21" s="18" t="str">
        <f t="shared" si="7"/>
        <v>#DIV/0!</v>
      </c>
      <c r="Y21" s="49">
        <f>IFERROR(__xludf.DUMMYFUNCTION("IF(ISNUMBER(W21),
   IFERROR( W21 / AVERAGE( FILTER($W$2:$W1031, $A$2:$A1031=$A21, ISNUMBER($W$2:$W1031)) ), 1 ),
"""")"),1.0)</f>
        <v>1</v>
      </c>
      <c r="Z21" s="50" t="str">
        <f>IFERROR(__xludf.DUMMYFUNCTION("IF(ISNUMBER(X21),
   IFERROR( X21 / AVERAGE( FILTER($X$2:$X1031, $A$2:$A1031=$A21, ISNUMBER($X$2:$X1031)) ), 1 ),
"""")"),"")</f>
        <v/>
      </c>
      <c r="AA21" s="51" t="str">
        <f t="shared" si="8"/>
        <v/>
      </c>
    </row>
    <row r="22">
      <c r="A22" s="11" t="s">
        <v>58</v>
      </c>
      <c r="B22" s="12" t="s">
        <v>50</v>
      </c>
      <c r="C22" s="13">
        <v>0.6</v>
      </c>
      <c r="D22" s="12" t="s">
        <v>59</v>
      </c>
      <c r="E22" s="13">
        <v>1.0</v>
      </c>
      <c r="F22" s="12" t="s">
        <v>59</v>
      </c>
      <c r="G22" s="14">
        <v>2.0</v>
      </c>
      <c r="H22" s="11" t="s">
        <v>60</v>
      </c>
      <c r="I22" s="13">
        <v>0.0</v>
      </c>
      <c r="J22" s="13">
        <v>1.0</v>
      </c>
      <c r="K22" s="15">
        <v>0.0</v>
      </c>
      <c r="L22" s="13">
        <v>0.0</v>
      </c>
      <c r="M22" s="13">
        <v>1.0</v>
      </c>
      <c r="N22" s="13">
        <v>1.0</v>
      </c>
      <c r="O22" s="13" t="b">
        <f t="shared" si="1"/>
        <v>0</v>
      </c>
      <c r="P22" s="14">
        <f t="shared" si="2"/>
        <v>2</v>
      </c>
      <c r="Q22" s="16">
        <f t="shared" si="3"/>
        <v>1.2</v>
      </c>
      <c r="R22" s="16">
        <f t="shared" si="4"/>
        <v>0.1</v>
      </c>
      <c r="V22" s="17">
        <f t="shared" si="5"/>
        <v>0</v>
      </c>
      <c r="W22" s="18">
        <f t="shared" si="6"/>
        <v>0.9166666667</v>
      </c>
      <c r="X22" s="18">
        <f t="shared" si="7"/>
        <v>0.55</v>
      </c>
      <c r="Y22" s="18">
        <f>IFERROR(__xludf.DUMMYFUNCTION("IF(ISNUMBER(W22),
   IFERROR( W22 / AVERAGE( FILTER($W$2:$W1031, $A$2:$A1031=$A22, ISNUMBER($W$2:$W1031)) ), 1 ),
"""")"),1.0)</f>
        <v>1</v>
      </c>
      <c r="Z22" s="52">
        <f>IFERROR(__xludf.DUMMYFUNCTION("IF(ISNUMBER(X22),
   IFERROR( X22 / AVERAGE( FILTER($X$2:$X1031, $A$2:$A1031=$A22, ISNUMBER($X$2:$X1031)) ), 1 ),
"""")"),0.8571428571428571)</f>
        <v>0.8571428571</v>
      </c>
      <c r="AA22" s="18">
        <f t="shared" si="8"/>
        <v>1.857142857</v>
      </c>
    </row>
    <row r="23">
      <c r="A23" s="11" t="s">
        <v>58</v>
      </c>
      <c r="B23" s="12" t="s">
        <v>50</v>
      </c>
      <c r="C23" s="13">
        <v>0.6</v>
      </c>
      <c r="D23" s="12" t="s">
        <v>59</v>
      </c>
      <c r="E23" s="13">
        <v>1.0</v>
      </c>
      <c r="F23" s="12" t="s">
        <v>59</v>
      </c>
      <c r="G23" s="14">
        <v>2.0</v>
      </c>
      <c r="H23" s="11" t="s">
        <v>61</v>
      </c>
      <c r="I23" s="13">
        <v>0.0</v>
      </c>
      <c r="J23" s="13">
        <v>0.0</v>
      </c>
      <c r="K23" s="15">
        <v>2.0</v>
      </c>
      <c r="L23" s="13">
        <v>0.0</v>
      </c>
      <c r="M23" s="13">
        <v>1.0</v>
      </c>
      <c r="N23" s="13">
        <v>0.5</v>
      </c>
      <c r="O23" s="13" t="b">
        <f t="shared" si="1"/>
        <v>0</v>
      </c>
      <c r="P23" s="14">
        <f t="shared" si="2"/>
        <v>1.5</v>
      </c>
      <c r="Q23" s="16">
        <f t="shared" si="3"/>
        <v>1.2</v>
      </c>
      <c r="R23" s="16">
        <f t="shared" si="4"/>
        <v>0.1</v>
      </c>
      <c r="V23" s="17">
        <f t="shared" si="5"/>
        <v>0</v>
      </c>
      <c r="W23" s="18">
        <f t="shared" si="6"/>
        <v>0.9166666667</v>
      </c>
      <c r="X23" s="18">
        <f t="shared" si="7"/>
        <v>0.7333333333</v>
      </c>
      <c r="Y23" s="18">
        <f>IFERROR(__xludf.DUMMYFUNCTION("IF(ISNUMBER(W23),
   IFERROR( W23 / AVERAGE( FILTER($W$2:$W1031, $A$2:$A1031=$A23, ISNUMBER($W$2:$W1031)) ), 1 ),
"""")"),1.0)</f>
        <v>1</v>
      </c>
      <c r="Z23" s="52">
        <f>IFERROR(__xludf.DUMMYFUNCTION("IF(ISNUMBER(X23),
   IFERROR( X23 / AVERAGE( FILTER($X$2:$X1031, $A$2:$A1031=$A23, ISNUMBER($X$2:$X1031)) ), 1 ),
"""")"),1.1428571428571428)</f>
        <v>1.142857143</v>
      </c>
      <c r="AA23" s="18">
        <f t="shared" si="8"/>
        <v>2.142857143</v>
      </c>
    </row>
    <row r="24">
      <c r="A24" s="70"/>
      <c r="B24" s="59"/>
      <c r="C24" s="58"/>
      <c r="D24" s="59"/>
      <c r="E24" s="58"/>
      <c r="F24" s="59"/>
      <c r="G24" s="72"/>
      <c r="H24" s="70"/>
      <c r="I24" s="58"/>
      <c r="J24" s="58"/>
      <c r="K24" s="71"/>
      <c r="L24" s="58"/>
      <c r="M24" s="58"/>
      <c r="N24" s="58"/>
      <c r="O24" s="58" t="b">
        <f t="shared" si="1"/>
        <v>1</v>
      </c>
      <c r="P24" s="72">
        <f t="shared" si="2"/>
        <v>0</v>
      </c>
      <c r="Q24" s="58">
        <f t="shared" si="3"/>
        <v>0.1</v>
      </c>
      <c r="R24" s="58">
        <f t="shared" si="4"/>
        <v>0.1</v>
      </c>
      <c r="V24" s="17">
        <f t="shared" si="5"/>
        <v>0</v>
      </c>
      <c r="W24" s="18">
        <f t="shared" si="6"/>
        <v>0</v>
      </c>
      <c r="X24" s="18" t="str">
        <f t="shared" si="7"/>
        <v>#DIV/0!</v>
      </c>
      <c r="Y24" s="49">
        <f>IFERROR(__xludf.DUMMYFUNCTION("IF(ISNUMBER(W24),
   IFERROR( W24 / AVERAGE( FILTER($W$2:$W1031, $A$2:$A1031=$A24, ISNUMBER($W$2:$W1031)) ), 1 ),
"""")"),1.0)</f>
        <v>1</v>
      </c>
      <c r="Z24" s="50" t="str">
        <f>IFERROR(__xludf.DUMMYFUNCTION("IF(ISNUMBER(X24),
   IFERROR( X24 / AVERAGE( FILTER($X$2:$X1031, $A$2:$A1031=$A24, ISNUMBER($X$2:$X1031)) ), 1 ),
"""")"),"")</f>
        <v/>
      </c>
      <c r="AA24" s="51" t="str">
        <f t="shared" si="8"/>
        <v/>
      </c>
    </row>
    <row r="25">
      <c r="A25" s="11" t="s">
        <v>62</v>
      </c>
      <c r="B25" s="12" t="s">
        <v>63</v>
      </c>
      <c r="C25" s="13">
        <v>1.0</v>
      </c>
      <c r="D25" s="12" t="s">
        <v>29</v>
      </c>
      <c r="E25" s="13">
        <v>3.0</v>
      </c>
      <c r="F25" s="12" t="s">
        <v>30</v>
      </c>
      <c r="G25" s="14">
        <v>1.0</v>
      </c>
      <c r="H25" s="11" t="s">
        <v>64</v>
      </c>
      <c r="I25" s="13">
        <v>0.7</v>
      </c>
      <c r="J25" s="13">
        <v>1.0</v>
      </c>
      <c r="K25" s="15">
        <v>0.0</v>
      </c>
      <c r="L25" s="13">
        <v>0.0</v>
      </c>
      <c r="M25" s="13">
        <v>1.0</v>
      </c>
      <c r="N25" s="13">
        <v>0.5</v>
      </c>
      <c r="O25" s="13" t="b">
        <f t="shared" si="1"/>
        <v>0</v>
      </c>
      <c r="P25" s="14">
        <f t="shared" si="2"/>
        <v>1.5</v>
      </c>
      <c r="Q25" s="16">
        <f t="shared" si="3"/>
        <v>3</v>
      </c>
      <c r="R25" s="16">
        <f t="shared" si="4"/>
        <v>0.6</v>
      </c>
      <c r="V25" s="17">
        <f t="shared" si="5"/>
        <v>0</v>
      </c>
      <c r="W25" s="18">
        <f t="shared" si="6"/>
        <v>0.8</v>
      </c>
      <c r="X25" s="18">
        <f t="shared" si="7"/>
        <v>1.6</v>
      </c>
      <c r="Y25" s="18">
        <f>IFERROR(__xludf.DUMMYFUNCTION("IF(ISNUMBER(W25),
   IFERROR( W25 / AVERAGE( FILTER($W$2:$W1031, $A$2:$A1031=$A25, ISNUMBER($W$2:$W1031)) ), 1 ),
"""")"),1.2)</f>
        <v>1.2</v>
      </c>
      <c r="Z25" s="52">
        <f>IFERROR(__xludf.DUMMYFUNCTION("IF(ISNUMBER(X25),
   IFERROR( X25 / AVERAGE( FILTER($X$2:$X1031, $A$2:$A1031=$A25, ISNUMBER($X$2:$X1031)) ), 1 ),
"""")"),1.2857142857142856)</f>
        <v>1.285714286</v>
      </c>
      <c r="AA25" s="18">
        <f t="shared" si="8"/>
        <v>2.485714286</v>
      </c>
    </row>
    <row r="26">
      <c r="A26" s="73" t="s">
        <v>62</v>
      </c>
      <c r="B26" s="61" t="s">
        <v>63</v>
      </c>
      <c r="C26" s="62">
        <v>1.0</v>
      </c>
      <c r="D26" s="61" t="s">
        <v>29</v>
      </c>
      <c r="E26" s="62">
        <v>3.0</v>
      </c>
      <c r="F26" s="61" t="s">
        <v>30</v>
      </c>
      <c r="G26" s="64">
        <v>1.0</v>
      </c>
      <c r="H26" s="60" t="s">
        <v>65</v>
      </c>
      <c r="I26" s="65">
        <v>0.3</v>
      </c>
      <c r="J26" s="65">
        <v>1.0</v>
      </c>
      <c r="K26" s="66">
        <v>0.0</v>
      </c>
      <c r="L26" s="65">
        <v>0.3</v>
      </c>
      <c r="M26" s="65">
        <v>1.0</v>
      </c>
      <c r="N26" s="65">
        <v>0.5</v>
      </c>
      <c r="O26" s="65" t="b">
        <f t="shared" si="1"/>
        <v>0</v>
      </c>
      <c r="P26" s="67">
        <f t="shared" si="2"/>
        <v>1.8</v>
      </c>
      <c r="Q26" s="68">
        <f t="shared" si="3"/>
        <v>3</v>
      </c>
      <c r="R26" s="68">
        <f t="shared" si="4"/>
        <v>1.4</v>
      </c>
      <c r="S26" s="38"/>
      <c r="T26" s="38"/>
      <c r="U26" s="38"/>
      <c r="V26" s="17">
        <f t="shared" si="5"/>
        <v>0</v>
      </c>
      <c r="W26" s="18">
        <f t="shared" si="6"/>
        <v>0.5333333333</v>
      </c>
      <c r="X26" s="18">
        <f t="shared" si="7"/>
        <v>0.8888888889</v>
      </c>
      <c r="Y26" s="18">
        <f>IFERROR(__xludf.DUMMYFUNCTION("IF(ISNUMBER(W26),
   IFERROR( W26 / AVERAGE( FILTER($W$2:$W1031, $A$2:$A1031=$A26, ISNUMBER($W$2:$W1031)) ), 1 ),
"""")"),0.8)</f>
        <v>0.8</v>
      </c>
      <c r="Z26" s="52">
        <f>IFERROR(__xludf.DUMMYFUNCTION("IF(ISNUMBER(X26),
   IFERROR( X26 / AVERAGE( FILTER($X$2:$X1031, $A$2:$A1031=$A26, ISNUMBER($X$2:$X1031)) ), 1 ),
"""")"),0.7142857142857143)</f>
        <v>0.7142857143</v>
      </c>
      <c r="AA26" s="18">
        <f t="shared" si="8"/>
        <v>1.514285714</v>
      </c>
      <c r="AB26" s="38"/>
      <c r="AC26" s="38"/>
      <c r="AD26" s="38"/>
    </row>
    <row r="27">
      <c r="A27" s="74"/>
      <c r="B27" s="75"/>
      <c r="C27" s="76"/>
      <c r="D27" s="75"/>
      <c r="E27" s="76"/>
      <c r="F27" s="75"/>
      <c r="G27" s="77"/>
      <c r="H27" s="78"/>
      <c r="I27" s="79"/>
      <c r="J27" s="79"/>
      <c r="K27" s="80"/>
      <c r="L27" s="79"/>
      <c r="M27" s="79"/>
      <c r="N27" s="79"/>
      <c r="O27" s="79" t="b">
        <f t="shared" si="1"/>
        <v>1</v>
      </c>
      <c r="P27" s="81">
        <f t="shared" si="2"/>
        <v>0</v>
      </c>
      <c r="Q27" s="79">
        <f t="shared" si="3"/>
        <v>0.1</v>
      </c>
      <c r="R27" s="79">
        <f t="shared" si="4"/>
        <v>0.1</v>
      </c>
      <c r="S27" s="39"/>
      <c r="T27" s="39">
        <v>0.0</v>
      </c>
      <c r="U27" s="39">
        <v>0.0</v>
      </c>
      <c r="V27" s="17">
        <f t="shared" si="5"/>
        <v>0</v>
      </c>
      <c r="W27" s="18">
        <f t="shared" si="6"/>
        <v>0</v>
      </c>
      <c r="X27" s="18" t="str">
        <f t="shared" si="7"/>
        <v>#DIV/0!</v>
      </c>
      <c r="Y27" s="49">
        <f>IFERROR(__xludf.DUMMYFUNCTION("IF(ISNUMBER(W27),
   IFERROR( W27 / AVERAGE( FILTER($W$2:$W1031, $A$2:$A1031=$A27, ISNUMBER($W$2:$W1031)) ), 1 ),
"""")"),1.0)</f>
        <v>1</v>
      </c>
      <c r="Z27" s="50" t="str">
        <f>IFERROR(__xludf.DUMMYFUNCTION("IF(ISNUMBER(X27),
   IFERROR( X27 / AVERAGE( FILTER($X$2:$X1031, $A$2:$A1031=$A27, ISNUMBER($X$2:$X1031)) ), 1 ),
"""")"),"")</f>
        <v/>
      </c>
      <c r="AA27" s="51" t="str">
        <f t="shared" si="8"/>
        <v/>
      </c>
      <c r="AB27" s="38"/>
      <c r="AC27" s="38"/>
      <c r="AD27" s="38"/>
    </row>
    <row r="28">
      <c r="A28" s="21" t="s">
        <v>66</v>
      </c>
      <c r="B28" s="22" t="s">
        <v>63</v>
      </c>
      <c r="C28" s="23">
        <v>1.0</v>
      </c>
      <c r="D28" s="22" t="s">
        <v>29</v>
      </c>
      <c r="E28" s="23">
        <v>3.0</v>
      </c>
      <c r="F28" s="22" t="s">
        <v>67</v>
      </c>
      <c r="G28" s="24">
        <v>2.0</v>
      </c>
      <c r="H28" s="21" t="s">
        <v>64</v>
      </c>
      <c r="I28" s="23">
        <v>0.7</v>
      </c>
      <c r="J28" s="23">
        <v>1.0</v>
      </c>
      <c r="K28" s="25">
        <v>0.0</v>
      </c>
      <c r="L28" s="23">
        <v>0.0</v>
      </c>
      <c r="M28" s="23">
        <v>1.0</v>
      </c>
      <c r="N28" s="23">
        <v>0.5</v>
      </c>
      <c r="O28" s="23" t="b">
        <f t="shared" si="1"/>
        <v>0</v>
      </c>
      <c r="P28" s="24">
        <f t="shared" si="2"/>
        <v>1.5</v>
      </c>
      <c r="Q28" s="26">
        <f t="shared" si="3"/>
        <v>6</v>
      </c>
      <c r="R28" s="26">
        <f t="shared" si="4"/>
        <v>1.2</v>
      </c>
      <c r="V28" s="17">
        <f t="shared" si="5"/>
        <v>0</v>
      </c>
      <c r="W28" s="18">
        <f t="shared" si="6"/>
        <v>0.8</v>
      </c>
      <c r="X28" s="18">
        <f t="shared" si="7"/>
        <v>3.2</v>
      </c>
      <c r="Y28" s="27">
        <f>IFERROR(__xludf.DUMMYFUNCTION("IF(ISNUMBER(W28),
   IFERROR( W28 / AVERAGE( FILTER($W$2:$W1031, $A$2:$A1031=$A28, ISNUMBER($W$2:$W1031)) ), 1 ),
"""")"),1.2)</f>
        <v>1.2</v>
      </c>
      <c r="Z28" s="28">
        <f>IFERROR(__xludf.DUMMYFUNCTION("IF(ISNUMBER(X28),
   IFERROR( X28 / AVERAGE( FILTER($X$2:$X1031, $A$2:$A1031=$A28, ISNUMBER($X$2:$X1031)) ), 1 ),
"""")"),1.2857142857142856)</f>
        <v>1.285714286</v>
      </c>
      <c r="AA28" s="27">
        <f t="shared" si="8"/>
        <v>2.485714286</v>
      </c>
    </row>
    <row r="29">
      <c r="A29" s="11" t="s">
        <v>66</v>
      </c>
      <c r="B29" s="12" t="s">
        <v>63</v>
      </c>
      <c r="C29" s="13">
        <v>1.0</v>
      </c>
      <c r="D29" s="12" t="s">
        <v>29</v>
      </c>
      <c r="E29" s="13">
        <v>3.0</v>
      </c>
      <c r="F29" s="12" t="s">
        <v>67</v>
      </c>
      <c r="G29" s="14">
        <v>2.0</v>
      </c>
      <c r="H29" s="11" t="s">
        <v>65</v>
      </c>
      <c r="I29" s="13">
        <v>0.3</v>
      </c>
      <c r="J29" s="13">
        <v>1.0</v>
      </c>
      <c r="K29" s="15">
        <v>0.0</v>
      </c>
      <c r="L29" s="13">
        <v>0.3</v>
      </c>
      <c r="M29" s="13">
        <v>1.0</v>
      </c>
      <c r="N29" s="13">
        <v>0.5</v>
      </c>
      <c r="O29" s="13" t="b">
        <f t="shared" si="1"/>
        <v>0</v>
      </c>
      <c r="P29" s="14">
        <f t="shared" si="2"/>
        <v>1.8</v>
      </c>
      <c r="Q29" s="16">
        <f t="shared" si="3"/>
        <v>6</v>
      </c>
      <c r="R29" s="16">
        <f t="shared" si="4"/>
        <v>2.8</v>
      </c>
      <c r="V29" s="17">
        <f t="shared" si="5"/>
        <v>0</v>
      </c>
      <c r="W29" s="18">
        <f t="shared" si="6"/>
        <v>0.5333333333</v>
      </c>
      <c r="X29" s="18">
        <f t="shared" si="7"/>
        <v>1.777777778</v>
      </c>
      <c r="Y29" s="18">
        <f>IFERROR(__xludf.DUMMYFUNCTION("IF(ISNUMBER(W29),
   IFERROR( W29 / AVERAGE( FILTER($W$2:$W1031, $A$2:$A1031=$A29, ISNUMBER($W$2:$W1031)) ), 1 ),
"""")"),0.8)</f>
        <v>0.8</v>
      </c>
      <c r="Z29" s="52">
        <f>IFERROR(__xludf.DUMMYFUNCTION("IF(ISNUMBER(X29),
   IFERROR( X29 / AVERAGE( FILTER($X$2:$X1031, $A$2:$A1031=$A29, ISNUMBER($X$2:$X1031)) ), 1 ),
"""")"),0.7142857142857143)</f>
        <v>0.7142857143</v>
      </c>
      <c r="AA29" s="18">
        <f t="shared" si="8"/>
        <v>1.514285714</v>
      </c>
    </row>
    <row r="30">
      <c r="A30" s="70"/>
      <c r="B30" s="59"/>
      <c r="C30" s="58"/>
      <c r="D30" s="59"/>
      <c r="E30" s="58"/>
      <c r="F30" s="59"/>
      <c r="G30" s="72"/>
      <c r="H30" s="70"/>
      <c r="I30" s="58"/>
      <c r="J30" s="58"/>
      <c r="K30" s="71"/>
      <c r="L30" s="58"/>
      <c r="M30" s="58"/>
      <c r="N30" s="58"/>
      <c r="O30" s="58" t="b">
        <f t="shared" si="1"/>
        <v>1</v>
      </c>
      <c r="P30" s="72">
        <f t="shared" si="2"/>
        <v>0</v>
      </c>
      <c r="Q30" s="58">
        <f t="shared" si="3"/>
        <v>0.1</v>
      </c>
      <c r="R30" s="58">
        <f t="shared" si="4"/>
        <v>0.1</v>
      </c>
      <c r="V30" s="17">
        <f t="shared" si="5"/>
        <v>0</v>
      </c>
      <c r="W30" s="18">
        <f t="shared" si="6"/>
        <v>0</v>
      </c>
      <c r="X30" s="18" t="str">
        <f t="shared" si="7"/>
        <v>#DIV/0!</v>
      </c>
      <c r="Y30" s="49">
        <f>IFERROR(__xludf.DUMMYFUNCTION("IF(ISNUMBER(W30),
   IFERROR( W30 / AVERAGE( FILTER($W$2:$W1031, $A$2:$A1031=$A30, ISNUMBER($W$2:$W1031)) ), 1 ),
"""")"),1.0)</f>
        <v>1</v>
      </c>
      <c r="Z30" s="50" t="str">
        <f>IFERROR(__xludf.DUMMYFUNCTION("IF(ISNUMBER(X30),
   IFERROR( X30 / AVERAGE( FILTER($X$2:$X1031, $A$2:$A1031=$A30, ISNUMBER($X$2:$X1031)) ), 1 ),
"""")"),"")</f>
        <v/>
      </c>
      <c r="AA30" s="51" t="str">
        <f t="shared" si="8"/>
        <v/>
      </c>
    </row>
    <row r="31">
      <c r="A31" s="11" t="s">
        <v>68</v>
      </c>
      <c r="B31" s="12" t="s">
        <v>69</v>
      </c>
      <c r="C31" s="13">
        <v>1.7</v>
      </c>
      <c r="D31" s="12" t="s">
        <v>70</v>
      </c>
      <c r="E31" s="13">
        <v>3.0</v>
      </c>
      <c r="F31" s="12" t="s">
        <v>30</v>
      </c>
      <c r="G31" s="14">
        <v>1.0</v>
      </c>
      <c r="H31" s="11" t="s">
        <v>71</v>
      </c>
      <c r="I31" s="13">
        <v>0.0</v>
      </c>
      <c r="J31" s="13">
        <v>0.0</v>
      </c>
      <c r="K31" s="15">
        <v>0.0</v>
      </c>
      <c r="L31" s="13">
        <v>0.3</v>
      </c>
      <c r="M31" s="13">
        <v>1.0</v>
      </c>
      <c r="N31" s="13">
        <v>0.5</v>
      </c>
      <c r="O31" s="13" t="b">
        <f t="shared" si="1"/>
        <v>0</v>
      </c>
      <c r="P31" s="14">
        <f t="shared" si="2"/>
        <v>1.8</v>
      </c>
      <c r="Q31" s="16">
        <f t="shared" si="3"/>
        <v>5.1</v>
      </c>
      <c r="R31" s="16">
        <f t="shared" si="4"/>
        <v>5.1</v>
      </c>
      <c r="V31" s="17">
        <f t="shared" si="5"/>
        <v>0</v>
      </c>
      <c r="W31" s="18">
        <f t="shared" si="6"/>
        <v>0</v>
      </c>
      <c r="X31" s="18">
        <f t="shared" si="7"/>
        <v>0</v>
      </c>
      <c r="Y31" s="18">
        <f>IFERROR(__xludf.DUMMYFUNCTION("IF(ISNUMBER(W31),
   IFERROR( W31 / AVERAGE( FILTER($W$2:$W1031, $A$2:$A1031=$A31, ISNUMBER($W$2:$W1031)) ), 1 ),
"""")"),0.0)</f>
        <v>0</v>
      </c>
      <c r="Z31" s="52">
        <f>IFERROR(__xludf.DUMMYFUNCTION("IF(ISNUMBER(X31),
   IFERROR( X31 / AVERAGE( FILTER($X$2:$X1031, $A$2:$A1031=$A31, ISNUMBER($X$2:$X1031)) ), 1 ),
"""")"),0.0)</f>
        <v>0</v>
      </c>
      <c r="AA31" s="18">
        <f t="shared" si="8"/>
        <v>0</v>
      </c>
    </row>
    <row r="32">
      <c r="A32" s="21" t="s">
        <v>68</v>
      </c>
      <c r="B32" s="22" t="s">
        <v>69</v>
      </c>
      <c r="C32" s="23">
        <v>1.7</v>
      </c>
      <c r="D32" s="22" t="s">
        <v>70</v>
      </c>
      <c r="E32" s="23">
        <v>3.0</v>
      </c>
      <c r="F32" s="22" t="s">
        <v>30</v>
      </c>
      <c r="G32" s="24">
        <v>1.0</v>
      </c>
      <c r="H32" s="21" t="s">
        <v>72</v>
      </c>
      <c r="I32" s="23">
        <v>0.0</v>
      </c>
      <c r="J32" s="23">
        <v>0.0</v>
      </c>
      <c r="K32" s="25">
        <v>1.0</v>
      </c>
      <c r="L32" s="23">
        <v>1.5</v>
      </c>
      <c r="M32" s="23">
        <v>1.0</v>
      </c>
      <c r="N32" s="23">
        <v>0.0</v>
      </c>
      <c r="O32" s="23" t="b">
        <f t="shared" si="1"/>
        <v>1</v>
      </c>
      <c r="P32" s="24">
        <f t="shared" si="2"/>
        <v>2.5</v>
      </c>
      <c r="Q32" s="26">
        <f t="shared" si="3"/>
        <v>5.1</v>
      </c>
      <c r="R32" s="26">
        <f t="shared" si="4"/>
        <v>0.1</v>
      </c>
      <c r="V32" s="17">
        <f t="shared" si="5"/>
        <v>0</v>
      </c>
      <c r="W32" s="18">
        <f t="shared" si="6"/>
        <v>0.9803921569</v>
      </c>
      <c r="X32" s="18">
        <f t="shared" si="7"/>
        <v>2</v>
      </c>
      <c r="Y32" s="27">
        <f>IFERROR(__xludf.DUMMYFUNCTION("IF(ISNUMBER(W32),
   IFERROR( W32 / AVERAGE( FILTER($W$2:$W1031, $A$2:$A1031=$A32, ISNUMBER($W$2:$W1031)) ), 1 ),
"""")"),2.7272727272727275)</f>
        <v>2.727272727</v>
      </c>
      <c r="Z32" s="28">
        <f>IFERROR(__xludf.DUMMYFUNCTION("IF(ISNUMBER(X32),
   IFERROR( X32 / AVERAGE( FILTER($X$2:$X1031, $A$2:$A1031=$A32, ISNUMBER($X$2:$X1031)) ), 1 ),
"""")"),2.4000000000000004)</f>
        <v>2.4</v>
      </c>
      <c r="AA32" s="27">
        <f t="shared" si="8"/>
        <v>5.127272727</v>
      </c>
    </row>
    <row r="33">
      <c r="A33" s="73" t="s">
        <v>68</v>
      </c>
      <c r="B33" s="61" t="s">
        <v>69</v>
      </c>
      <c r="C33" s="62">
        <v>1.7</v>
      </c>
      <c r="D33" s="61" t="s">
        <v>70</v>
      </c>
      <c r="E33" s="65">
        <v>3.0</v>
      </c>
      <c r="F33" s="61" t="s">
        <v>30</v>
      </c>
      <c r="G33" s="64">
        <v>1.0</v>
      </c>
      <c r="H33" s="60" t="s">
        <v>73</v>
      </c>
      <c r="I33" s="65">
        <v>0.7</v>
      </c>
      <c r="J33" s="65">
        <v>1.0</v>
      </c>
      <c r="K33" s="66">
        <v>0.0</v>
      </c>
      <c r="L33" s="65">
        <v>0.0</v>
      </c>
      <c r="M33" s="65">
        <v>1.0</v>
      </c>
      <c r="N33" s="65">
        <v>0.0</v>
      </c>
      <c r="O33" s="65" t="b">
        <f t="shared" si="1"/>
        <v>1</v>
      </c>
      <c r="P33" s="67">
        <f t="shared" si="2"/>
        <v>1</v>
      </c>
      <c r="Q33" s="68">
        <f t="shared" si="3"/>
        <v>5.1</v>
      </c>
      <c r="R33" s="68">
        <f t="shared" si="4"/>
        <v>2</v>
      </c>
      <c r="S33" s="39" t="s">
        <v>74</v>
      </c>
      <c r="T33" s="39">
        <v>1.3</v>
      </c>
      <c r="U33" s="39">
        <v>2.0</v>
      </c>
      <c r="V33" s="17">
        <f t="shared" si="5"/>
        <v>2.6</v>
      </c>
      <c r="W33" s="18">
        <f t="shared" si="6"/>
        <v>0.09803921569</v>
      </c>
      <c r="X33" s="18">
        <f t="shared" si="7"/>
        <v>0.5</v>
      </c>
      <c r="Y33" s="18">
        <f>IFERROR(__xludf.DUMMYFUNCTION("IF(ISNUMBER(W33),
   IFERROR( W33 / AVERAGE( FILTER($W$2:$W1031, $A$2:$A1031=$A33, ISNUMBER($W$2:$W1031)) ), 1 ),
"""")"),0.2727272727272725)</f>
        <v>0.2727272727</v>
      </c>
      <c r="Z33" s="52">
        <f>IFERROR(__xludf.DUMMYFUNCTION("IF(ISNUMBER(X33),
   IFERROR( X33 / AVERAGE( FILTER($X$2:$X1031, $A$2:$A1031=$A33, ISNUMBER($X$2:$X1031)) ), 1 ),
"""")"),0.5999999999999996)</f>
        <v>0.6</v>
      </c>
      <c r="AA33" s="18">
        <f t="shared" si="8"/>
        <v>0.8727272727</v>
      </c>
      <c r="AB33" s="38"/>
      <c r="AC33" s="38"/>
      <c r="AD33" s="38"/>
    </row>
    <row r="34">
      <c r="A34" s="53"/>
      <c r="B34" s="54"/>
      <c r="C34" s="55"/>
      <c r="D34" s="54"/>
      <c r="E34" s="55"/>
      <c r="F34" s="54"/>
      <c r="G34" s="56"/>
      <c r="H34" s="70"/>
      <c r="I34" s="58"/>
      <c r="J34" s="58"/>
      <c r="K34" s="71"/>
      <c r="L34" s="58"/>
      <c r="M34" s="58"/>
      <c r="N34" s="58"/>
      <c r="O34" s="58" t="b">
        <f t="shared" si="1"/>
        <v>1</v>
      </c>
      <c r="P34" s="72">
        <f t="shared" si="2"/>
        <v>0</v>
      </c>
      <c r="Q34" s="58">
        <f t="shared" si="3"/>
        <v>0.1</v>
      </c>
      <c r="R34" s="58">
        <f t="shared" si="4"/>
        <v>0.1</v>
      </c>
      <c r="V34" s="17">
        <f t="shared" si="5"/>
        <v>0</v>
      </c>
      <c r="W34" s="18">
        <f t="shared" si="6"/>
        <v>0</v>
      </c>
      <c r="X34" s="18" t="str">
        <f t="shared" si="7"/>
        <v>#DIV/0!</v>
      </c>
      <c r="Y34" s="49">
        <f>IFERROR(__xludf.DUMMYFUNCTION("IF(ISNUMBER(W34),
   IFERROR( W34 / AVERAGE( FILTER($W$2:$W1031, $A$2:$A1031=$A34, ISNUMBER($W$2:$W1031)) ), 1 ),
"""")"),1.0)</f>
        <v>1</v>
      </c>
      <c r="Z34" s="50" t="str">
        <f>IFERROR(__xludf.DUMMYFUNCTION("IF(ISNUMBER(X34),
   IFERROR( X34 / AVERAGE( FILTER($X$2:$X1031, $A$2:$A1031=$A34, ISNUMBER($X$2:$X1031)) ), 1 ),
"""")"),"")</f>
        <v/>
      </c>
      <c r="AA34" s="51" t="str">
        <f t="shared" si="8"/>
        <v/>
      </c>
    </row>
    <row r="35">
      <c r="A35" s="11" t="s">
        <v>75</v>
      </c>
      <c r="B35" s="12" t="s">
        <v>69</v>
      </c>
      <c r="C35" s="13">
        <v>1.7</v>
      </c>
      <c r="D35" s="12" t="s">
        <v>76</v>
      </c>
      <c r="E35" s="13">
        <v>2.0</v>
      </c>
      <c r="F35" s="12" t="s">
        <v>30</v>
      </c>
      <c r="G35" s="14">
        <v>1.0</v>
      </c>
      <c r="H35" s="11" t="s">
        <v>77</v>
      </c>
      <c r="I35" s="13">
        <v>0.0</v>
      </c>
      <c r="J35" s="13">
        <v>0.0</v>
      </c>
      <c r="K35" s="15">
        <v>1.0</v>
      </c>
      <c r="L35" s="13">
        <v>4.0</v>
      </c>
      <c r="M35" s="13">
        <v>1.0</v>
      </c>
      <c r="N35" s="13">
        <v>0.0</v>
      </c>
      <c r="O35" s="13" t="b">
        <f t="shared" si="1"/>
        <v>1</v>
      </c>
      <c r="P35" s="14">
        <f t="shared" si="2"/>
        <v>5</v>
      </c>
      <c r="Q35" s="16">
        <f t="shared" si="3"/>
        <v>3.4</v>
      </c>
      <c r="R35" s="16">
        <f t="shared" si="4"/>
        <v>0.1</v>
      </c>
      <c r="V35" s="17">
        <f t="shared" si="5"/>
        <v>0</v>
      </c>
      <c r="W35" s="18">
        <f t="shared" si="6"/>
        <v>0.9705882353</v>
      </c>
      <c r="X35" s="18">
        <f t="shared" si="7"/>
        <v>0.66</v>
      </c>
      <c r="Y35" s="18">
        <f>IFERROR(__xludf.DUMMYFUNCTION("IF(ISNUMBER(W35),
   IFERROR( W35 / AVERAGE( FILTER($W$2:$W1031, $A$2:$A1031=$A35, ISNUMBER($W$2:$W1031)) ), 1 ),
"""")"),1.1578947368421053)</f>
        <v>1.157894737</v>
      </c>
      <c r="Z35" s="52">
        <f>IFERROR(__xludf.DUMMYFUNCTION("IF(ISNUMBER(X35),
   IFERROR( X35 / AVERAGE( FILTER($X$2:$X1031, $A$2:$A1031=$A35, ISNUMBER($X$2:$X1031)) ), 1 ),
"""")"),0.43137254901960786)</f>
        <v>0.431372549</v>
      </c>
      <c r="AA35" s="18">
        <f t="shared" si="8"/>
        <v>1.589267286</v>
      </c>
    </row>
    <row r="36">
      <c r="A36" s="11" t="s">
        <v>75</v>
      </c>
      <c r="B36" s="12" t="s">
        <v>69</v>
      </c>
      <c r="C36" s="13">
        <v>1.7</v>
      </c>
      <c r="D36" s="12" t="s">
        <v>76</v>
      </c>
      <c r="E36" s="13">
        <v>2.0</v>
      </c>
      <c r="F36" s="12" t="s">
        <v>30</v>
      </c>
      <c r="G36" s="14">
        <v>1.0</v>
      </c>
      <c r="H36" s="11" t="s">
        <v>78</v>
      </c>
      <c r="I36" s="13">
        <v>0.7</v>
      </c>
      <c r="J36" s="13">
        <v>1.0</v>
      </c>
      <c r="K36" s="15">
        <v>0.0</v>
      </c>
      <c r="L36" s="13">
        <v>0.0</v>
      </c>
      <c r="M36" s="13">
        <v>1.0</v>
      </c>
      <c r="N36" s="13">
        <v>0.0</v>
      </c>
      <c r="O36" s="13" t="b">
        <f t="shared" si="1"/>
        <v>1</v>
      </c>
      <c r="P36" s="14">
        <f t="shared" si="2"/>
        <v>1</v>
      </c>
      <c r="Q36" s="16">
        <f t="shared" si="3"/>
        <v>3.4</v>
      </c>
      <c r="R36" s="16">
        <f t="shared" si="4"/>
        <v>1</v>
      </c>
      <c r="V36" s="17">
        <f t="shared" si="5"/>
        <v>0</v>
      </c>
      <c r="W36" s="18">
        <f t="shared" si="6"/>
        <v>0.7058823529</v>
      </c>
      <c r="X36" s="18">
        <f t="shared" si="7"/>
        <v>2.4</v>
      </c>
      <c r="Y36" s="18">
        <f>IFERROR(__xludf.DUMMYFUNCTION("IF(ISNUMBER(W36),
   IFERROR( W36 / AVERAGE( FILTER($W$2:$W1031, $A$2:$A1031=$A36, ISNUMBER($W$2:$W1031)) ), 1 ),
"""")"),0.8421052631578948)</f>
        <v>0.8421052632</v>
      </c>
      <c r="Z36" s="52">
        <f>IFERROR(__xludf.DUMMYFUNCTION("IF(ISNUMBER(X36),
   IFERROR( X36 / AVERAGE( FILTER($X$2:$X1031, $A$2:$A1031=$A36, ISNUMBER($X$2:$X1031)) ), 1 ),
"""")"),1.5686274509803924)</f>
        <v>1.568627451</v>
      </c>
      <c r="AA36" s="18">
        <f t="shared" si="8"/>
        <v>2.410732714</v>
      </c>
    </row>
    <row r="37">
      <c r="A37" s="53"/>
      <c r="B37" s="54"/>
      <c r="C37" s="55"/>
      <c r="D37" s="54"/>
      <c r="E37" s="55"/>
      <c r="F37" s="54"/>
      <c r="G37" s="56"/>
      <c r="H37" s="70"/>
      <c r="I37" s="58"/>
      <c r="J37" s="58"/>
      <c r="K37" s="71"/>
      <c r="L37" s="58"/>
      <c r="M37" s="58"/>
      <c r="N37" s="58"/>
      <c r="O37" s="58" t="b">
        <f t="shared" si="1"/>
        <v>1</v>
      </c>
      <c r="P37" s="72">
        <f t="shared" si="2"/>
        <v>0</v>
      </c>
      <c r="Q37" s="58">
        <f t="shared" si="3"/>
        <v>0.1</v>
      </c>
      <c r="R37" s="58">
        <f t="shared" si="4"/>
        <v>0.1</v>
      </c>
      <c r="V37" s="17">
        <f t="shared" si="5"/>
        <v>0</v>
      </c>
      <c r="W37" s="18">
        <f t="shared" si="6"/>
        <v>0</v>
      </c>
      <c r="X37" s="18" t="str">
        <f t="shared" si="7"/>
        <v>#DIV/0!</v>
      </c>
      <c r="Y37" s="49">
        <f>IFERROR(__xludf.DUMMYFUNCTION("IF(ISNUMBER(W37),
   IFERROR( W37 / AVERAGE( FILTER($W$2:$W1031, $A$2:$A1031=$A37, ISNUMBER($W$2:$W1031)) ), 1 ),
"""")"),1.0)</f>
        <v>1</v>
      </c>
      <c r="Z37" s="50" t="str">
        <f>IFERROR(__xludf.DUMMYFUNCTION("IF(ISNUMBER(X37),
   IFERROR( X37 / AVERAGE( FILTER($X$2:$X1031, $A$2:$A1031=$A37, ISNUMBER($X$2:$X1031)) ), 1 ),
"""")"),"")</f>
        <v/>
      </c>
      <c r="AA37" s="51" t="str">
        <f t="shared" si="8"/>
        <v/>
      </c>
    </row>
    <row r="38">
      <c r="A38" s="21" t="s">
        <v>79</v>
      </c>
      <c r="B38" s="22" t="s">
        <v>69</v>
      </c>
      <c r="C38" s="23">
        <v>1.7</v>
      </c>
      <c r="D38" s="22" t="s">
        <v>80</v>
      </c>
      <c r="E38" s="23">
        <v>2.0</v>
      </c>
      <c r="F38" s="22" t="s">
        <v>81</v>
      </c>
      <c r="G38" s="24">
        <v>2.0</v>
      </c>
      <c r="H38" s="21" t="s">
        <v>82</v>
      </c>
      <c r="I38" s="23">
        <v>0.0</v>
      </c>
      <c r="J38" s="23">
        <v>0.0</v>
      </c>
      <c r="K38" s="25">
        <v>1.0</v>
      </c>
      <c r="L38" s="23">
        <v>0.0</v>
      </c>
      <c r="M38" s="23">
        <v>1.0</v>
      </c>
      <c r="N38" s="23">
        <v>1.0</v>
      </c>
      <c r="O38" s="23" t="b">
        <f t="shared" si="1"/>
        <v>0</v>
      </c>
      <c r="P38" s="24">
        <f t="shared" si="2"/>
        <v>2</v>
      </c>
      <c r="Q38" s="26">
        <f t="shared" si="3"/>
        <v>6.8</v>
      </c>
      <c r="R38" s="26">
        <f t="shared" si="4"/>
        <v>3.4</v>
      </c>
      <c r="V38" s="17">
        <f t="shared" si="5"/>
        <v>0</v>
      </c>
      <c r="W38" s="18">
        <f t="shared" si="6"/>
        <v>0.5</v>
      </c>
      <c r="X38" s="18">
        <f t="shared" si="7"/>
        <v>1.7</v>
      </c>
      <c r="Y38" s="27">
        <f>IFERROR(__xludf.DUMMYFUNCTION("IF(ISNUMBER(W38),
   IFERROR( W38 / AVERAGE( FILTER($W$2:$W1031, $A$2:$A1031=$A38, ISNUMBER($W$2:$W1031)) ), 1 ),
"""")"),2.0)</f>
        <v>2</v>
      </c>
      <c r="Z38" s="28">
        <f>IFERROR(__xludf.DUMMYFUNCTION("IF(ISNUMBER(X38),
   IFERROR( X38 / AVERAGE( FILTER($X$2:$X1031, $A$2:$A1031=$A38, ISNUMBER($X$2:$X1031)) ), 1 ),
"""")"),2.0)</f>
        <v>2</v>
      </c>
      <c r="AA38" s="27">
        <f t="shared" si="8"/>
        <v>4</v>
      </c>
    </row>
    <row r="39">
      <c r="A39" s="11" t="s">
        <v>79</v>
      </c>
      <c r="B39" s="12" t="s">
        <v>69</v>
      </c>
      <c r="C39" s="13">
        <v>1.7</v>
      </c>
      <c r="D39" s="12" t="s">
        <v>80</v>
      </c>
      <c r="E39" s="13">
        <v>2.0</v>
      </c>
      <c r="F39" s="12" t="s">
        <v>81</v>
      </c>
      <c r="G39" s="14">
        <v>2.0</v>
      </c>
      <c r="H39" s="11" t="s">
        <v>83</v>
      </c>
      <c r="I39" s="13">
        <v>0.0</v>
      </c>
      <c r="J39" s="13">
        <v>0.0</v>
      </c>
      <c r="K39" s="15">
        <v>0.0</v>
      </c>
      <c r="L39" s="13">
        <v>0.2</v>
      </c>
      <c r="M39" s="13">
        <v>1.0</v>
      </c>
      <c r="N39" s="13">
        <v>0.5</v>
      </c>
      <c r="O39" s="13" t="b">
        <f t="shared" si="1"/>
        <v>0</v>
      </c>
      <c r="P39" s="14">
        <f t="shared" si="2"/>
        <v>1.7</v>
      </c>
      <c r="Q39" s="16">
        <f t="shared" si="3"/>
        <v>6.8</v>
      </c>
      <c r="R39" s="16">
        <f t="shared" si="4"/>
        <v>6.8</v>
      </c>
      <c r="V39" s="17">
        <f t="shared" si="5"/>
        <v>0</v>
      </c>
      <c r="W39" s="18">
        <f t="shared" si="6"/>
        <v>0</v>
      </c>
      <c r="X39" s="18">
        <f t="shared" si="7"/>
        <v>0</v>
      </c>
      <c r="Y39" s="18">
        <f>IFERROR(__xludf.DUMMYFUNCTION("IF(ISNUMBER(W39),
   IFERROR( W39 / AVERAGE( FILTER($W$2:$W1031, $A$2:$A1031=$A39, ISNUMBER($W$2:$W1031)) ), 1 ),
"""")"),0.0)</f>
        <v>0</v>
      </c>
      <c r="Z39" s="52">
        <f>IFERROR(__xludf.DUMMYFUNCTION("IF(ISNUMBER(X39),
   IFERROR( X39 / AVERAGE( FILTER($X$2:$X1031, $A$2:$A1031=$A39, ISNUMBER($X$2:$X1031)) ), 1 ),
"""")"),0.0)</f>
        <v>0</v>
      </c>
      <c r="AA39" s="18">
        <f t="shared" si="8"/>
        <v>0</v>
      </c>
    </row>
    <row r="40">
      <c r="A40" s="53"/>
      <c r="B40" s="54"/>
      <c r="C40" s="55"/>
      <c r="D40" s="54"/>
      <c r="E40" s="55"/>
      <c r="F40" s="54"/>
      <c r="G40" s="56"/>
      <c r="H40" s="70"/>
      <c r="I40" s="58"/>
      <c r="J40" s="58"/>
      <c r="K40" s="71"/>
      <c r="L40" s="58"/>
      <c r="M40" s="58"/>
      <c r="N40" s="58"/>
      <c r="O40" s="58" t="b">
        <f t="shared" si="1"/>
        <v>1</v>
      </c>
      <c r="P40" s="72">
        <f t="shared" si="2"/>
        <v>0</v>
      </c>
      <c r="Q40" s="58">
        <f t="shared" si="3"/>
        <v>0.1</v>
      </c>
      <c r="R40" s="58">
        <f t="shared" si="4"/>
        <v>0.1</v>
      </c>
      <c r="V40" s="17">
        <f t="shared" si="5"/>
        <v>0</v>
      </c>
      <c r="W40" s="18">
        <f t="shared" si="6"/>
        <v>0</v>
      </c>
      <c r="X40" s="18" t="str">
        <f t="shared" si="7"/>
        <v>#DIV/0!</v>
      </c>
      <c r="Y40" s="49">
        <f>IFERROR(__xludf.DUMMYFUNCTION("IF(ISNUMBER(W40),
   IFERROR( W40 / AVERAGE( FILTER($W$2:$W1031, $A$2:$A1031=$A40, ISNUMBER($W$2:$W1031)) ), 1 ),
"""")"),1.0)</f>
        <v>1</v>
      </c>
      <c r="Z40" s="50" t="str">
        <f>IFERROR(__xludf.DUMMYFUNCTION("IF(ISNUMBER(X40),
   IFERROR( X40 / AVERAGE( FILTER($X$2:$X1031, $A$2:$A1031=$A40, ISNUMBER($X$2:$X1031)) ), 1 ),
"""")"),"")</f>
        <v/>
      </c>
      <c r="AA40" s="51" t="str">
        <f t="shared" si="8"/>
        <v/>
      </c>
    </row>
    <row r="41">
      <c r="A41" s="11" t="s">
        <v>84</v>
      </c>
      <c r="B41" s="12" t="s">
        <v>69</v>
      </c>
      <c r="C41" s="13">
        <v>1.7</v>
      </c>
      <c r="D41" s="12" t="s">
        <v>85</v>
      </c>
      <c r="E41" s="13">
        <v>2.0</v>
      </c>
      <c r="F41" s="12" t="s">
        <v>86</v>
      </c>
      <c r="G41" s="14">
        <v>3.0</v>
      </c>
      <c r="H41" s="11" t="s">
        <v>87</v>
      </c>
      <c r="I41" s="13">
        <v>0.0</v>
      </c>
      <c r="J41" s="13">
        <v>1.0</v>
      </c>
      <c r="K41" s="15">
        <v>2.0</v>
      </c>
      <c r="L41" s="13">
        <v>4.0</v>
      </c>
      <c r="M41" s="13">
        <v>1.0</v>
      </c>
      <c r="N41" s="13">
        <v>0.1</v>
      </c>
      <c r="O41" s="13" t="b">
        <f t="shared" si="1"/>
        <v>1</v>
      </c>
      <c r="P41" s="14">
        <f t="shared" si="2"/>
        <v>5.1</v>
      </c>
      <c r="Q41" s="16">
        <f t="shared" si="3"/>
        <v>10.2</v>
      </c>
      <c r="R41" s="16">
        <f t="shared" si="4"/>
        <v>1.7</v>
      </c>
      <c r="V41" s="17">
        <f t="shared" si="5"/>
        <v>0</v>
      </c>
      <c r="W41" s="18">
        <f t="shared" si="6"/>
        <v>0.8333333333</v>
      </c>
      <c r="X41" s="18">
        <f t="shared" si="7"/>
        <v>1.666666667</v>
      </c>
      <c r="Y41" s="18">
        <f>IFERROR(__xludf.DUMMYFUNCTION("IF(ISNUMBER(W41),
   IFERROR( W41 / AVERAGE( FILTER($W$2:$W1031, $A$2:$A1031=$A41, ISNUMBER($W$2:$W1031)) ), 1 ),
"""")"),1.9465648854961832)</f>
        <v>1.946564885</v>
      </c>
      <c r="Z41" s="52">
        <f>IFERROR(__xludf.DUMMYFUNCTION("IF(ISNUMBER(X41),
   IFERROR( X41 / AVERAGE( FILTER($X$2:$X1031, $A$2:$A1031=$A41, ISNUMBER($X$2:$X1031)) ), 1 ),
"""")"),0.7978723404255319)</f>
        <v>0.7978723404</v>
      </c>
      <c r="AA41" s="18">
        <f t="shared" si="8"/>
        <v>2.744437226</v>
      </c>
    </row>
    <row r="42">
      <c r="A42" s="73" t="s">
        <v>84</v>
      </c>
      <c r="B42" s="61" t="s">
        <v>69</v>
      </c>
      <c r="C42" s="62">
        <v>1.7</v>
      </c>
      <c r="D42" s="61" t="s">
        <v>85</v>
      </c>
      <c r="E42" s="62">
        <v>2.0</v>
      </c>
      <c r="F42" s="61" t="s">
        <v>86</v>
      </c>
      <c r="G42" s="64">
        <v>3.0</v>
      </c>
      <c r="H42" s="60" t="s">
        <v>88</v>
      </c>
      <c r="I42" s="65">
        <v>0.0</v>
      </c>
      <c r="J42" s="65">
        <v>0.0</v>
      </c>
      <c r="K42" s="66">
        <v>0.0</v>
      </c>
      <c r="L42" s="65">
        <v>0.3</v>
      </c>
      <c r="M42" s="65">
        <v>1.0</v>
      </c>
      <c r="N42" s="65">
        <v>0.5</v>
      </c>
      <c r="O42" s="65" t="b">
        <f t="shared" si="1"/>
        <v>0</v>
      </c>
      <c r="P42" s="67">
        <f t="shared" si="2"/>
        <v>1.8</v>
      </c>
      <c r="Q42" s="68">
        <f t="shared" si="3"/>
        <v>10.2</v>
      </c>
      <c r="R42" s="68">
        <f t="shared" si="4"/>
        <v>10.2</v>
      </c>
      <c r="S42" s="38"/>
      <c r="T42" s="38"/>
      <c r="U42" s="38"/>
      <c r="V42" s="17">
        <f t="shared" si="5"/>
        <v>0</v>
      </c>
      <c r="W42" s="18">
        <f t="shared" si="6"/>
        <v>0</v>
      </c>
      <c r="X42" s="18">
        <f t="shared" si="7"/>
        <v>0</v>
      </c>
      <c r="Y42" s="18">
        <f>IFERROR(__xludf.DUMMYFUNCTION("IF(ISNUMBER(W42),
   IFERROR( W42 / AVERAGE( FILTER($W$2:$W1031, $A$2:$A1031=$A42, ISNUMBER($W$2:$W1031)) ), 1 ),
"""")"),0.0)</f>
        <v>0</v>
      </c>
      <c r="Z42" s="52">
        <f>IFERROR(__xludf.DUMMYFUNCTION("IF(ISNUMBER(X42),
   IFERROR( X42 / AVERAGE( FILTER($X$2:$X1031, $A$2:$A1031=$A42, ISNUMBER($X$2:$X1031)) ), 1 ),
"""")"),0.0)</f>
        <v>0</v>
      </c>
      <c r="AA42" s="18">
        <f t="shared" si="8"/>
        <v>0</v>
      </c>
      <c r="AB42" s="38"/>
      <c r="AC42" s="38"/>
      <c r="AD42" s="38"/>
    </row>
    <row r="43">
      <c r="A43" s="29" t="s">
        <v>84</v>
      </c>
      <c r="B43" s="30" t="s">
        <v>69</v>
      </c>
      <c r="C43" s="31">
        <v>1.7</v>
      </c>
      <c r="D43" s="30" t="s">
        <v>85</v>
      </c>
      <c r="E43" s="31">
        <v>2.0</v>
      </c>
      <c r="F43" s="30" t="s">
        <v>86</v>
      </c>
      <c r="G43" s="32">
        <v>3.0</v>
      </c>
      <c r="H43" s="33" t="s">
        <v>73</v>
      </c>
      <c r="I43" s="34">
        <v>0.7</v>
      </c>
      <c r="J43" s="34">
        <v>1.0</v>
      </c>
      <c r="K43" s="35">
        <v>0.0</v>
      </c>
      <c r="L43" s="34">
        <v>0.0</v>
      </c>
      <c r="M43" s="34">
        <v>1.0</v>
      </c>
      <c r="N43" s="34">
        <v>0.0</v>
      </c>
      <c r="O43" s="34" t="b">
        <f t="shared" si="1"/>
        <v>1</v>
      </c>
      <c r="P43" s="36">
        <f t="shared" si="2"/>
        <v>1</v>
      </c>
      <c r="Q43" s="37">
        <f t="shared" si="3"/>
        <v>10.2</v>
      </c>
      <c r="R43" s="37">
        <f t="shared" si="4"/>
        <v>3</v>
      </c>
      <c r="S43" s="39" t="s">
        <v>74</v>
      </c>
      <c r="T43" s="39">
        <v>1.3</v>
      </c>
      <c r="U43" s="39">
        <v>2.0</v>
      </c>
      <c r="V43" s="17">
        <f t="shared" si="5"/>
        <v>2.6</v>
      </c>
      <c r="W43" s="18">
        <f t="shared" si="6"/>
        <v>0.4509803922</v>
      </c>
      <c r="X43" s="18">
        <f t="shared" si="7"/>
        <v>4.6</v>
      </c>
      <c r="Y43" s="27">
        <f>IFERROR(__xludf.DUMMYFUNCTION("IF(ISNUMBER(W43),
   IFERROR( W43 / AVERAGE( FILTER($W$2:$W1031, $A$2:$A1031=$A43, ISNUMBER($W$2:$W1031)) ), 1 ),
"""")"),1.0534351145038168)</f>
        <v>1.053435115</v>
      </c>
      <c r="Z43" s="28">
        <f>IFERROR(__xludf.DUMMYFUNCTION("IF(ISNUMBER(X43),
   IFERROR( X43 / AVERAGE( FILTER($X$2:$X1031, $A$2:$A1031=$A43, ISNUMBER($X$2:$X1031)) ), 1 ),
"""")"),2.202127659574468)</f>
        <v>2.20212766</v>
      </c>
      <c r="AA43" s="27">
        <f t="shared" si="8"/>
        <v>3.255562774</v>
      </c>
      <c r="AB43" s="38"/>
      <c r="AC43" s="38"/>
      <c r="AD43" s="38"/>
    </row>
    <row r="44">
      <c r="A44" s="50"/>
      <c r="C44" s="10"/>
      <c r="E44" s="10"/>
      <c r="G44" s="82"/>
      <c r="H44" s="50"/>
      <c r="I44" s="10"/>
      <c r="J44" s="10"/>
      <c r="K44" s="83"/>
      <c r="L44" s="10"/>
      <c r="M44" s="10"/>
      <c r="N44" s="10"/>
      <c r="O44" s="10" t="b">
        <f t="shared" si="1"/>
        <v>1</v>
      </c>
      <c r="P44" s="82">
        <f t="shared" si="2"/>
        <v>0</v>
      </c>
      <c r="Q44" s="10">
        <f t="shared" si="3"/>
        <v>0.1</v>
      </c>
      <c r="R44" s="10">
        <f t="shared" si="4"/>
        <v>0.1</v>
      </c>
      <c r="V44" s="17">
        <f t="shared" si="5"/>
        <v>0</v>
      </c>
      <c r="W44" s="18">
        <f t="shared" si="6"/>
        <v>0</v>
      </c>
      <c r="X44" s="18" t="str">
        <f t="shared" si="7"/>
        <v>#DIV/0!</v>
      </c>
      <c r="Y44" s="49">
        <f>IFERROR(__xludf.DUMMYFUNCTION("IF(ISNUMBER(W44),
   IFERROR( W44 / AVERAGE( FILTER($W$2:$W1031, $A$2:$A1031=$A44, ISNUMBER($W$2:$W1031)) ), 1 ),
"""")"),1.0)</f>
        <v>1</v>
      </c>
      <c r="Z44" s="50" t="str">
        <f>IFERROR(__xludf.DUMMYFUNCTION("IF(ISNUMBER(X44),
   IFERROR( X44 / AVERAGE( FILTER($X$2:$X1031, $A$2:$A1031=$A44, ISNUMBER($X$2:$X1031)) ), 1 ),
"""")"),"")</f>
        <v/>
      </c>
      <c r="AA44" s="51" t="str">
        <f t="shared" si="8"/>
        <v/>
      </c>
    </row>
    <row r="45">
      <c r="A45" s="50"/>
      <c r="C45" s="10"/>
      <c r="E45" s="10"/>
      <c r="G45" s="82"/>
      <c r="H45" s="50"/>
      <c r="I45" s="10"/>
      <c r="J45" s="10"/>
      <c r="K45" s="83"/>
      <c r="L45" s="10"/>
      <c r="M45" s="10"/>
      <c r="N45" s="10"/>
      <c r="O45" s="10" t="b">
        <f t="shared" si="1"/>
        <v>1</v>
      </c>
      <c r="P45" s="82">
        <f t="shared" si="2"/>
        <v>0</v>
      </c>
      <c r="Q45" s="10">
        <f t="shared" si="3"/>
        <v>0.1</v>
      </c>
      <c r="R45" s="10">
        <f t="shared" si="4"/>
        <v>0.1</v>
      </c>
      <c r="V45" s="17">
        <f t="shared" si="5"/>
        <v>0</v>
      </c>
      <c r="W45" s="18">
        <f t="shared" si="6"/>
        <v>0</v>
      </c>
      <c r="X45" s="18" t="str">
        <f t="shared" si="7"/>
        <v>#DIV/0!</v>
      </c>
      <c r="Y45" s="49">
        <f>IFERROR(__xludf.DUMMYFUNCTION("IF(ISNUMBER(W45),
   IFERROR( W45 / AVERAGE( FILTER($W$2:$W1031, $A$2:$A1031=$A45, ISNUMBER($W$2:$W1031)) ), 1 ),
"""")"),1.0)</f>
        <v>1</v>
      </c>
      <c r="Z45" s="50" t="str">
        <f>IFERROR(__xludf.DUMMYFUNCTION("IF(ISNUMBER(X45),
   IFERROR( X45 / AVERAGE( FILTER($X$2:$X1031, $A$2:$A1031=$A45, ISNUMBER($X$2:$X1031)) ), 1 ),
"""")"),"")</f>
        <v/>
      </c>
      <c r="AA45" s="51" t="str">
        <f t="shared" si="8"/>
        <v/>
      </c>
    </row>
    <row r="46">
      <c r="A46" s="50"/>
      <c r="C46" s="10"/>
      <c r="E46" s="10"/>
      <c r="G46" s="82"/>
      <c r="H46" s="50"/>
      <c r="I46" s="10"/>
      <c r="J46" s="10"/>
      <c r="K46" s="83"/>
      <c r="L46" s="10"/>
      <c r="M46" s="10"/>
      <c r="N46" s="10"/>
      <c r="O46" s="10" t="b">
        <f t="shared" si="1"/>
        <v>1</v>
      </c>
      <c r="P46" s="82">
        <f t="shared" si="2"/>
        <v>0</v>
      </c>
      <c r="Q46" s="10">
        <f t="shared" si="3"/>
        <v>0.1</v>
      </c>
      <c r="R46" s="10">
        <f t="shared" si="4"/>
        <v>0.1</v>
      </c>
      <c r="V46" s="17">
        <f t="shared" si="5"/>
        <v>0</v>
      </c>
      <c r="W46" s="18">
        <f t="shared" si="6"/>
        <v>0</v>
      </c>
      <c r="X46" s="18" t="str">
        <f t="shared" si="7"/>
        <v>#DIV/0!</v>
      </c>
      <c r="Y46" s="49">
        <f>IFERROR(__xludf.DUMMYFUNCTION("IF(ISNUMBER(W46),
   IFERROR( W46 / AVERAGE( FILTER($W$2:$W1031, $A$2:$A1031=$A46, ISNUMBER($W$2:$W1031)) ), 1 ),
"""")"),1.0)</f>
        <v>1</v>
      </c>
      <c r="Z46" s="50" t="str">
        <f>IFERROR(__xludf.DUMMYFUNCTION("IF(ISNUMBER(X46),
   IFERROR( X46 / AVERAGE( FILTER($X$2:$X1031, $A$2:$A1031=$A46, ISNUMBER($X$2:$X1031)) ), 1 ),
"""")"),"")</f>
        <v/>
      </c>
      <c r="AA46" s="51" t="str">
        <f t="shared" si="8"/>
        <v/>
      </c>
    </row>
    <row r="47">
      <c r="A47" s="84" t="s">
        <v>89</v>
      </c>
      <c r="B47" s="85" t="s">
        <v>90</v>
      </c>
      <c r="C47" s="86">
        <v>3.0</v>
      </c>
      <c r="D47" s="85" t="s">
        <v>91</v>
      </c>
      <c r="E47" s="86">
        <v>3.0</v>
      </c>
      <c r="F47" s="85" t="s">
        <v>92</v>
      </c>
      <c r="G47" s="87">
        <v>1.0</v>
      </c>
      <c r="H47" s="84" t="s">
        <v>93</v>
      </c>
      <c r="I47" s="86">
        <v>0.0</v>
      </c>
      <c r="J47" s="86">
        <v>2.0</v>
      </c>
      <c r="K47" s="88">
        <v>0.0</v>
      </c>
      <c r="L47" s="89" t="s">
        <v>94</v>
      </c>
      <c r="M47" s="89" t="s">
        <v>95</v>
      </c>
      <c r="N47" s="89" t="s">
        <v>95</v>
      </c>
      <c r="O47" s="89" t="b">
        <f t="shared" si="1"/>
        <v>0</v>
      </c>
      <c r="P47" s="90">
        <f t="shared" si="2"/>
        <v>7</v>
      </c>
      <c r="Q47" s="91">
        <f t="shared" si="3"/>
        <v>9</v>
      </c>
      <c r="R47" s="91">
        <f t="shared" si="4"/>
        <v>3</v>
      </c>
      <c r="V47" s="17">
        <f t="shared" si="5"/>
        <v>0</v>
      </c>
      <c r="W47" s="18">
        <f t="shared" si="6"/>
        <v>0.6666666667</v>
      </c>
      <c r="X47" s="18">
        <f t="shared" si="7"/>
        <v>0.8571428571</v>
      </c>
      <c r="Y47" s="92">
        <f>IFERROR(__xludf.DUMMYFUNCTION("IF(ISNUMBER(W47),
   IFERROR( W47 / AVERAGE( FILTER($W$2:$W1031, $A$2:$A1031=$A47, ISNUMBER($W$2:$W1031)) ), 1 ),
"""")"),1.0)</f>
        <v>1</v>
      </c>
      <c r="Z47" s="93">
        <f>IFERROR(__xludf.DUMMYFUNCTION("IF(ISNUMBER(X47),
   IFERROR( X47 / AVERAGE( FILTER($X$2:$X1031, $A$2:$A1031=$A47, ISNUMBER($X$2:$X1031)) ), 1 ),
"""")"),1.0)</f>
        <v>1</v>
      </c>
      <c r="AA47" s="92">
        <f t="shared" si="8"/>
        <v>2</v>
      </c>
    </row>
    <row r="48">
      <c r="A48" s="94" t="s">
        <v>96</v>
      </c>
      <c r="B48" s="95" t="s">
        <v>90</v>
      </c>
      <c r="C48" s="96">
        <v>1.3</v>
      </c>
      <c r="D48" s="95" t="s">
        <v>97</v>
      </c>
      <c r="E48" s="96">
        <v>2.0</v>
      </c>
      <c r="F48" s="95" t="s">
        <v>98</v>
      </c>
      <c r="G48" s="97">
        <v>2.0</v>
      </c>
      <c r="H48" s="94" t="s">
        <v>99</v>
      </c>
      <c r="I48" s="96">
        <v>0.0</v>
      </c>
      <c r="J48" s="96">
        <v>0.0</v>
      </c>
      <c r="K48" s="98">
        <v>1.0</v>
      </c>
      <c r="L48" s="99" t="s">
        <v>95</v>
      </c>
      <c r="M48" s="99" t="s">
        <v>95</v>
      </c>
      <c r="N48" s="99" t="s">
        <v>95</v>
      </c>
      <c r="O48" s="99" t="b">
        <f t="shared" si="1"/>
        <v>0</v>
      </c>
      <c r="P48" s="100">
        <f t="shared" si="2"/>
        <v>3</v>
      </c>
      <c r="Q48" s="101">
        <f t="shared" si="3"/>
        <v>5.2</v>
      </c>
      <c r="R48" s="101">
        <f t="shared" si="4"/>
        <v>2.6</v>
      </c>
      <c r="V48" s="17">
        <f t="shared" si="5"/>
        <v>0</v>
      </c>
      <c r="W48" s="18">
        <f t="shared" si="6"/>
        <v>0.5</v>
      </c>
      <c r="X48" s="18">
        <f t="shared" si="7"/>
        <v>0.8666666667</v>
      </c>
      <c r="Y48" s="92">
        <f>IFERROR(__xludf.DUMMYFUNCTION("IF(ISNUMBER(W48),
   IFERROR( W48 / AVERAGE( FILTER($W$2:$W1031, $A$2:$A1031=$A48, ISNUMBER($W$2:$W1031)) ), 1 ),
"""")"),1.0)</f>
        <v>1</v>
      </c>
      <c r="Z48" s="102">
        <f>IFERROR(__xludf.DUMMYFUNCTION("IF(ISNUMBER(X48),
   IFERROR( X48 / AVERAGE( FILTER($X$2:$X1031, $A$2:$A1031=$A48, ISNUMBER($X$2:$X1031)) ), 1 ),
"""")"),1.0)</f>
        <v>1</v>
      </c>
      <c r="AA48" s="103">
        <f t="shared" si="8"/>
        <v>2</v>
      </c>
    </row>
    <row r="49">
      <c r="A49" s="84" t="s">
        <v>100</v>
      </c>
      <c r="B49" s="85" t="s">
        <v>90</v>
      </c>
      <c r="C49" s="86">
        <v>1.0</v>
      </c>
      <c r="D49" s="85" t="s">
        <v>101</v>
      </c>
      <c r="E49" s="86">
        <v>1.0</v>
      </c>
      <c r="F49" s="85" t="s">
        <v>102</v>
      </c>
      <c r="G49" s="87">
        <v>1.0</v>
      </c>
      <c r="H49" s="84" t="s">
        <v>103</v>
      </c>
      <c r="I49" s="86">
        <v>0.0</v>
      </c>
      <c r="J49" s="86">
        <v>1.0</v>
      </c>
      <c r="K49" s="88">
        <v>0.0</v>
      </c>
      <c r="L49" s="89" t="s">
        <v>95</v>
      </c>
      <c r="M49" s="89" t="s">
        <v>95</v>
      </c>
      <c r="N49" s="89"/>
      <c r="O49" s="89" t="b">
        <f t="shared" si="1"/>
        <v>1</v>
      </c>
      <c r="P49" s="104">
        <f t="shared" si="2"/>
        <v>2</v>
      </c>
      <c r="Q49" s="91">
        <f t="shared" si="3"/>
        <v>1</v>
      </c>
      <c r="R49" s="91">
        <f t="shared" si="4"/>
        <v>0.1</v>
      </c>
      <c r="V49" s="17">
        <f t="shared" si="5"/>
        <v>0</v>
      </c>
      <c r="W49" s="18">
        <f t="shared" si="6"/>
        <v>0.9</v>
      </c>
      <c r="X49" s="18">
        <f t="shared" si="7"/>
        <v>0.45</v>
      </c>
      <c r="Y49" s="92">
        <f>IFERROR(__xludf.DUMMYFUNCTION("IF(ISNUMBER(W49),
   IFERROR( W49 / AVERAGE( FILTER($W$2:$W1031, $A$2:$A1031=$A49, ISNUMBER($W$2:$W1031)) ), 1 ),
"""")"),1.0)</f>
        <v>1</v>
      </c>
      <c r="Z49" s="93">
        <f>IFERROR(__xludf.DUMMYFUNCTION("IF(ISNUMBER(X49),
   IFERROR( X49 / AVERAGE( FILTER($X$2:$X1031, $A$2:$A1031=$A49, ISNUMBER($X$2:$X1031)) ), 1 ),
"""")"),1.0)</f>
        <v>1</v>
      </c>
      <c r="AA49" s="92">
        <f t="shared" si="8"/>
        <v>2</v>
      </c>
    </row>
    <row r="50">
      <c r="A50" s="94" t="s">
        <v>104</v>
      </c>
      <c r="B50" s="95" t="s">
        <v>90</v>
      </c>
      <c r="C50" s="96">
        <v>2.0</v>
      </c>
      <c r="D50" s="95" t="s">
        <v>105</v>
      </c>
      <c r="E50" s="96">
        <v>2.0</v>
      </c>
      <c r="F50" s="95" t="s">
        <v>106</v>
      </c>
      <c r="G50" s="97">
        <v>1.0</v>
      </c>
      <c r="H50" s="94" t="s">
        <v>107</v>
      </c>
      <c r="I50" s="96">
        <v>0.0</v>
      </c>
      <c r="J50" s="96">
        <v>1.0</v>
      </c>
      <c r="K50" s="98">
        <v>1.0</v>
      </c>
      <c r="L50" s="99" t="s">
        <v>95</v>
      </c>
      <c r="M50" s="99" t="s">
        <v>95</v>
      </c>
      <c r="N50" s="99" t="s">
        <v>95</v>
      </c>
      <c r="O50" s="99" t="b">
        <f t="shared" si="1"/>
        <v>0</v>
      </c>
      <c r="P50" s="105">
        <f t="shared" si="2"/>
        <v>3</v>
      </c>
      <c r="Q50" s="101">
        <f t="shared" si="3"/>
        <v>4</v>
      </c>
      <c r="R50" s="101">
        <f t="shared" si="4"/>
        <v>0.1</v>
      </c>
      <c r="V50" s="17">
        <f t="shared" si="5"/>
        <v>0</v>
      </c>
      <c r="W50" s="18">
        <f t="shared" si="6"/>
        <v>0.975</v>
      </c>
      <c r="X50" s="18">
        <f t="shared" si="7"/>
        <v>1.3</v>
      </c>
      <c r="Y50" s="92">
        <f>IFERROR(__xludf.DUMMYFUNCTION("IF(ISNUMBER(W50),
   IFERROR( W50 / AVERAGE( FILTER($W$2:$W1031, $A$2:$A1031=$A50, ISNUMBER($W$2:$W1031)) ), 1 ),
"""")"),1.0)</f>
        <v>1</v>
      </c>
      <c r="Z50" s="102">
        <f>IFERROR(__xludf.DUMMYFUNCTION("IF(ISNUMBER(X50),
   IFERROR( X50 / AVERAGE( FILTER($X$2:$X1031, $A$2:$A1031=$A50, ISNUMBER($X$2:$X1031)) ), 1 ),
"""")"),1.0)</f>
        <v>1</v>
      </c>
      <c r="AA50" s="103">
        <f t="shared" si="8"/>
        <v>2</v>
      </c>
    </row>
    <row r="51">
      <c r="A51" s="106" t="s">
        <v>104</v>
      </c>
      <c r="B51" s="107" t="s">
        <v>90</v>
      </c>
      <c r="C51" s="108">
        <v>2.0</v>
      </c>
      <c r="D51" s="107" t="s">
        <v>105</v>
      </c>
      <c r="E51" s="108">
        <v>2.0</v>
      </c>
      <c r="F51" s="107" t="s">
        <v>106</v>
      </c>
      <c r="G51" s="109">
        <v>1.0</v>
      </c>
      <c r="H51" s="106" t="s">
        <v>108</v>
      </c>
      <c r="I51" s="108">
        <v>0.0</v>
      </c>
      <c r="J51" s="108">
        <v>1.0</v>
      </c>
      <c r="K51" s="110">
        <v>1.0</v>
      </c>
      <c r="L51" s="111" t="s">
        <v>95</v>
      </c>
      <c r="M51" s="111" t="s">
        <v>95</v>
      </c>
      <c r="N51" s="111" t="s">
        <v>95</v>
      </c>
      <c r="O51" s="111" t="b">
        <f t="shared" si="1"/>
        <v>0</v>
      </c>
      <c r="P51" s="112">
        <f t="shared" si="2"/>
        <v>3</v>
      </c>
      <c r="Q51" s="113">
        <f t="shared" si="3"/>
        <v>4</v>
      </c>
      <c r="R51" s="113">
        <f t="shared" si="4"/>
        <v>0.1</v>
      </c>
      <c r="V51" s="17">
        <f t="shared" si="5"/>
        <v>0</v>
      </c>
      <c r="W51" s="18">
        <f t="shared" si="6"/>
        <v>0.975</v>
      </c>
      <c r="X51" s="18">
        <f t="shared" si="7"/>
        <v>1.3</v>
      </c>
      <c r="Y51" s="114">
        <f>IFERROR(__xludf.DUMMYFUNCTION("IF(ISNUMBER(W51),
   IFERROR( W51 / AVERAGE( FILTER($W$2:$W1031, $A$2:$A1031=$A51, ISNUMBER($W$2:$W1031)) ), 1 ),
"""")"),1.0)</f>
        <v>1</v>
      </c>
      <c r="Z51" s="115">
        <f>IFERROR(__xludf.DUMMYFUNCTION("IF(ISNUMBER(X51),
   IFERROR( X51 / AVERAGE( FILTER($X$2:$X1031, $A$2:$A1031=$A51, ISNUMBER($X$2:$X1031)) ), 1 ),
"""")"),1.0)</f>
        <v>1</v>
      </c>
      <c r="AA51" s="114">
        <f t="shared" si="8"/>
        <v>2</v>
      </c>
    </row>
    <row r="52">
      <c r="A52" s="84" t="s">
        <v>109</v>
      </c>
      <c r="B52" s="85" t="s">
        <v>90</v>
      </c>
      <c r="C52" s="86">
        <v>2.3</v>
      </c>
      <c r="D52" s="85" t="s">
        <v>110</v>
      </c>
      <c r="E52" s="86">
        <v>3.0</v>
      </c>
      <c r="F52" s="85" t="s">
        <v>111</v>
      </c>
      <c r="G52" s="87">
        <v>1.0</v>
      </c>
      <c r="H52" s="84" t="s">
        <v>112</v>
      </c>
      <c r="I52" s="86">
        <v>0.0</v>
      </c>
      <c r="J52" s="86">
        <v>0.0</v>
      </c>
      <c r="K52" s="88">
        <v>1.0</v>
      </c>
      <c r="L52" s="89" t="s">
        <v>95</v>
      </c>
      <c r="M52" s="89" t="s">
        <v>95</v>
      </c>
      <c r="N52" s="89" t="s">
        <v>95</v>
      </c>
      <c r="O52" s="89" t="b">
        <f t="shared" si="1"/>
        <v>0</v>
      </c>
      <c r="P52" s="104">
        <f t="shared" si="2"/>
        <v>3</v>
      </c>
      <c r="Q52" s="91">
        <f t="shared" si="3"/>
        <v>6.9</v>
      </c>
      <c r="R52" s="91">
        <f t="shared" si="4"/>
        <v>0.1</v>
      </c>
      <c r="V52" s="17">
        <f t="shared" si="5"/>
        <v>0</v>
      </c>
      <c r="W52" s="18">
        <f t="shared" si="6"/>
        <v>0.9855072464</v>
      </c>
      <c r="X52" s="18">
        <f t="shared" si="7"/>
        <v>2.266666667</v>
      </c>
      <c r="Y52" s="92">
        <f>IFERROR(__xludf.DUMMYFUNCTION("IF(ISNUMBER(W52),
   IFERROR( W52 / AVERAGE( FILTER($W$2:$W1031, $A$2:$A1031=$A52, ISNUMBER($W$2:$W1031)) ), 1 ),
"""")"),1.192982456140351)</f>
        <v>1.192982456</v>
      </c>
      <c r="Z52" s="93">
        <f>IFERROR(__xludf.DUMMYFUNCTION("IF(ISNUMBER(X52),
   IFERROR( X52 / AVERAGE( FILTER($X$2:$X1031, $A$2:$A1031=$A52, ISNUMBER($X$2:$X1031)) ), 1 ),
"""")"),1.5504885993485342)</f>
        <v>1.550488599</v>
      </c>
      <c r="AA52" s="92">
        <f t="shared" si="8"/>
        <v>2.743471055</v>
      </c>
    </row>
    <row r="53">
      <c r="A53" s="84" t="s">
        <v>109</v>
      </c>
      <c r="B53" s="85" t="s">
        <v>90</v>
      </c>
      <c r="C53" s="86">
        <v>2.3</v>
      </c>
      <c r="D53" s="85" t="s">
        <v>110</v>
      </c>
      <c r="E53" s="86">
        <v>3.0</v>
      </c>
      <c r="F53" s="85" t="s">
        <v>111</v>
      </c>
      <c r="G53" s="87">
        <v>1.0</v>
      </c>
      <c r="H53" s="84" t="s">
        <v>93</v>
      </c>
      <c r="I53" s="86">
        <v>0.0</v>
      </c>
      <c r="J53" s="86">
        <v>2.0</v>
      </c>
      <c r="K53" s="88">
        <v>0.0</v>
      </c>
      <c r="L53" s="89" t="s">
        <v>94</v>
      </c>
      <c r="M53" s="89" t="s">
        <v>95</v>
      </c>
      <c r="N53" s="89" t="s">
        <v>95</v>
      </c>
      <c r="O53" s="89" t="b">
        <f t="shared" si="1"/>
        <v>0</v>
      </c>
      <c r="P53" s="90">
        <f t="shared" si="2"/>
        <v>7</v>
      </c>
      <c r="Q53" s="91">
        <f t="shared" si="3"/>
        <v>6.9</v>
      </c>
      <c r="R53" s="91">
        <f t="shared" si="4"/>
        <v>2.3</v>
      </c>
      <c r="V53" s="17">
        <f t="shared" si="5"/>
        <v>0</v>
      </c>
      <c r="W53" s="18">
        <f t="shared" si="6"/>
        <v>0.6666666667</v>
      </c>
      <c r="X53" s="18">
        <f t="shared" si="7"/>
        <v>0.6571428571</v>
      </c>
      <c r="Y53" s="92">
        <f>IFERROR(__xludf.DUMMYFUNCTION("IF(ISNUMBER(W53),
   IFERROR( W53 / AVERAGE( FILTER($W$2:$W1031, $A$2:$A1031=$A53, ISNUMBER($W$2:$W1031)) ), 1 ),
"""")"),0.8070175438596491)</f>
        <v>0.8070175439</v>
      </c>
      <c r="Z53" s="93">
        <f>IFERROR(__xludf.DUMMYFUNCTION("IF(ISNUMBER(X53),
   IFERROR( X53 / AVERAGE( FILTER($X$2:$X1031, $A$2:$A1031=$A53, ISNUMBER($X$2:$X1031)) ), 1 ),
"""")"),0.44951140065146583)</f>
        <v>0.4495114007</v>
      </c>
      <c r="AA53" s="92">
        <f t="shared" si="8"/>
        <v>1.256528945</v>
      </c>
    </row>
    <row r="54">
      <c r="A54" s="50"/>
      <c r="C54" s="10"/>
      <c r="E54" s="10"/>
      <c r="G54" s="82"/>
      <c r="H54" s="50"/>
      <c r="I54" s="10"/>
      <c r="J54" s="10"/>
      <c r="K54" s="83"/>
      <c r="L54" s="116"/>
      <c r="M54" s="116"/>
      <c r="N54" s="116"/>
      <c r="O54" s="116" t="b">
        <f t="shared" si="1"/>
        <v>1</v>
      </c>
      <c r="P54" s="117">
        <f t="shared" si="2"/>
        <v>0</v>
      </c>
      <c r="Q54" s="10">
        <f t="shared" si="3"/>
        <v>0.1</v>
      </c>
      <c r="R54" s="10">
        <f t="shared" si="4"/>
        <v>0.1</v>
      </c>
      <c r="V54" s="17">
        <f t="shared" si="5"/>
        <v>0</v>
      </c>
      <c r="W54" s="18">
        <f t="shared" si="6"/>
        <v>0</v>
      </c>
      <c r="X54" s="18" t="str">
        <f t="shared" si="7"/>
        <v>#DIV/0!</v>
      </c>
      <c r="Y54" s="49">
        <f>IFERROR(__xludf.DUMMYFUNCTION("IF(ISNUMBER(W54),
   IFERROR( W54 / AVERAGE( FILTER($W$2:$W1031, $A$2:$A1031=$A54, ISNUMBER($W$2:$W1031)) ), 1 ),
"""")"),1.0)</f>
        <v>1</v>
      </c>
      <c r="Z54" s="50" t="str">
        <f>IFERROR(__xludf.DUMMYFUNCTION("IF(ISNUMBER(X54),
   IFERROR( X54 / AVERAGE( FILTER($X$2:$X1031, $A$2:$A1031=$A54, ISNUMBER($X$2:$X1031)) ), 1 ),
"""")"),"")</f>
        <v/>
      </c>
      <c r="AA54" s="51" t="str">
        <f t="shared" si="8"/>
        <v/>
      </c>
    </row>
    <row r="55">
      <c r="A55" s="84" t="s">
        <v>113</v>
      </c>
      <c r="B55" s="85" t="s">
        <v>114</v>
      </c>
      <c r="C55" s="86">
        <v>1.0</v>
      </c>
      <c r="D55" s="85" t="s">
        <v>115</v>
      </c>
      <c r="E55" s="86">
        <v>2.0</v>
      </c>
      <c r="F55" s="85" t="s">
        <v>116</v>
      </c>
      <c r="G55" s="87">
        <v>3.0</v>
      </c>
      <c r="H55" s="84" t="s">
        <v>117</v>
      </c>
      <c r="I55" s="86">
        <v>0.0</v>
      </c>
      <c r="J55" s="86">
        <v>3.0</v>
      </c>
      <c r="K55" s="88">
        <v>2.0</v>
      </c>
      <c r="L55" s="89" t="s">
        <v>118</v>
      </c>
      <c r="M55" s="89" t="s">
        <v>95</v>
      </c>
      <c r="N55" s="89" t="s">
        <v>95</v>
      </c>
      <c r="O55" s="89" t="b">
        <f t="shared" si="1"/>
        <v>0</v>
      </c>
      <c r="P55" s="90">
        <f t="shared" si="2"/>
        <v>17</v>
      </c>
      <c r="Q55" s="91">
        <f t="shared" si="3"/>
        <v>6</v>
      </c>
      <c r="R55" s="91">
        <f t="shared" si="4"/>
        <v>0.1</v>
      </c>
      <c r="V55" s="17">
        <f t="shared" si="5"/>
        <v>0</v>
      </c>
      <c r="W55" s="18">
        <f t="shared" si="6"/>
        <v>0.9833333333</v>
      </c>
      <c r="X55" s="18">
        <f t="shared" si="7"/>
        <v>0.3470588235</v>
      </c>
      <c r="Y55" s="92">
        <f>IFERROR(__xludf.DUMMYFUNCTION("IF(ISNUMBER(W55),
   IFERROR( W55 / AVERAGE( FILTER($W$2:$W1031, $A$2:$A1031=$A55, ISNUMBER($W$2:$W1031)) ), 1 ),
"""")"),1.0)</f>
        <v>1</v>
      </c>
      <c r="Z55" s="93">
        <f>IFERROR(__xludf.DUMMYFUNCTION("IF(ISNUMBER(X55),
   IFERROR( X55 / AVERAGE( FILTER($X$2:$X1031, $A$2:$A1031=$A55, ISNUMBER($X$2:$X1031)) ), 1 ),
"""")"),1.0)</f>
        <v>1</v>
      </c>
      <c r="AA55" s="92">
        <f t="shared" si="8"/>
        <v>2</v>
      </c>
    </row>
    <row r="56">
      <c r="A56" s="106" t="s">
        <v>119</v>
      </c>
      <c r="B56" s="107" t="s">
        <v>114</v>
      </c>
      <c r="C56" s="108">
        <v>0.7</v>
      </c>
      <c r="D56" s="107" t="s">
        <v>120</v>
      </c>
      <c r="E56" s="108">
        <v>1.0</v>
      </c>
      <c r="F56" s="107" t="s">
        <v>121</v>
      </c>
      <c r="G56" s="109">
        <v>1.0</v>
      </c>
      <c r="H56" s="106" t="s">
        <v>122</v>
      </c>
      <c r="I56" s="108">
        <v>0.0</v>
      </c>
      <c r="J56" s="108">
        <v>0.0</v>
      </c>
      <c r="K56" s="110">
        <v>0.0</v>
      </c>
      <c r="L56" s="111" t="s">
        <v>123</v>
      </c>
      <c r="M56" s="111" t="s">
        <v>123</v>
      </c>
      <c r="N56" s="111" t="s">
        <v>123</v>
      </c>
      <c r="O56" s="111" t="b">
        <f t="shared" si="1"/>
        <v>0</v>
      </c>
      <c r="P56" s="118">
        <f t="shared" si="2"/>
        <v>0</v>
      </c>
      <c r="Q56" s="113">
        <f t="shared" si="3"/>
        <v>0.7</v>
      </c>
      <c r="R56" s="113">
        <f t="shared" si="4"/>
        <v>0.7</v>
      </c>
      <c r="V56" s="17">
        <f t="shared" si="5"/>
        <v>0</v>
      </c>
      <c r="W56" s="18">
        <f t="shared" si="6"/>
        <v>0</v>
      </c>
      <c r="X56" s="18" t="str">
        <f t="shared" si="7"/>
        <v>#DIV/0!</v>
      </c>
      <c r="Y56" s="114">
        <f>IFERROR(__xludf.DUMMYFUNCTION("IF(ISNUMBER(W56),
   IFERROR( W56 / AVERAGE( FILTER($W$2:$W1031, $A$2:$A1031=$A56, ISNUMBER($W$2:$W1031)) ), 1 ),
"""")"),1.0)</f>
        <v>1</v>
      </c>
      <c r="Z56" s="115" t="str">
        <f>IFERROR(__xludf.DUMMYFUNCTION("IF(ISNUMBER(X56),
   IFERROR( X56 / AVERAGE( FILTER($X$2:$X1031, $A$2:$A1031=$A56, ISNUMBER($X$2:$X1031)) ), 1 ),
"""")"),"")</f>
        <v/>
      </c>
      <c r="AA56" s="114" t="str">
        <f t="shared" si="8"/>
        <v/>
      </c>
    </row>
    <row r="57">
      <c r="A57" s="106" t="s">
        <v>124</v>
      </c>
      <c r="B57" s="107" t="s">
        <v>114</v>
      </c>
      <c r="C57" s="108">
        <v>0.7</v>
      </c>
      <c r="D57" s="107" t="s">
        <v>125</v>
      </c>
      <c r="E57" s="108">
        <v>1.0</v>
      </c>
      <c r="F57" s="107" t="s">
        <v>126</v>
      </c>
      <c r="G57" s="109">
        <v>3.0</v>
      </c>
      <c r="H57" s="106" t="s">
        <v>127</v>
      </c>
      <c r="I57" s="108">
        <v>0.0</v>
      </c>
      <c r="J57" s="108">
        <v>0.0</v>
      </c>
      <c r="K57" s="110">
        <v>0.0</v>
      </c>
      <c r="L57" s="111" t="s">
        <v>123</v>
      </c>
      <c r="M57" s="111" t="s">
        <v>123</v>
      </c>
      <c r="N57" s="111" t="s">
        <v>123</v>
      </c>
      <c r="O57" s="111" t="b">
        <f t="shared" si="1"/>
        <v>0</v>
      </c>
      <c r="P57" s="118">
        <f t="shared" si="2"/>
        <v>0</v>
      </c>
      <c r="Q57" s="113">
        <f t="shared" si="3"/>
        <v>2.1</v>
      </c>
      <c r="R57" s="113">
        <f t="shared" si="4"/>
        <v>2.1</v>
      </c>
      <c r="V57" s="17">
        <f t="shared" si="5"/>
        <v>0</v>
      </c>
      <c r="W57" s="18">
        <f t="shared" si="6"/>
        <v>0</v>
      </c>
      <c r="X57" s="18" t="str">
        <f t="shared" si="7"/>
        <v>#DIV/0!</v>
      </c>
      <c r="Y57" s="114">
        <f>IFERROR(__xludf.DUMMYFUNCTION("IF(ISNUMBER(W57),
   IFERROR( W57 / AVERAGE( FILTER($W$2:$W1031, $A$2:$A1031=$A57, ISNUMBER($W$2:$W1031)) ), 1 ),
"""")"),1.0)</f>
        <v>1</v>
      </c>
      <c r="Z57" s="115" t="str">
        <f>IFERROR(__xludf.DUMMYFUNCTION("IF(ISNUMBER(X57),
   IFERROR( X57 / AVERAGE( FILTER($X$2:$X1031, $A$2:$A1031=$A57, ISNUMBER($X$2:$X1031)) ), 1 ),
"""")"),"")</f>
        <v/>
      </c>
      <c r="AA57" s="114" t="str">
        <f t="shared" si="8"/>
        <v/>
      </c>
    </row>
    <row r="58">
      <c r="A58" s="84" t="s">
        <v>128</v>
      </c>
      <c r="B58" s="85" t="s">
        <v>114</v>
      </c>
      <c r="C58" s="86">
        <v>1.0</v>
      </c>
      <c r="D58" s="85" t="s">
        <v>129</v>
      </c>
      <c r="E58" s="86">
        <v>1.0</v>
      </c>
      <c r="F58" s="85" t="s">
        <v>130</v>
      </c>
      <c r="G58" s="87">
        <v>3.0</v>
      </c>
      <c r="H58" s="84" t="s">
        <v>131</v>
      </c>
      <c r="I58" s="86">
        <v>0.0</v>
      </c>
      <c r="J58" s="86">
        <v>1.0</v>
      </c>
      <c r="K58" s="88">
        <v>0.0</v>
      </c>
      <c r="L58" s="89" t="s">
        <v>95</v>
      </c>
      <c r="M58" s="89" t="s">
        <v>95</v>
      </c>
      <c r="N58" s="89" t="s">
        <v>95</v>
      </c>
      <c r="O58" s="89" t="b">
        <f t="shared" si="1"/>
        <v>0</v>
      </c>
      <c r="P58" s="90">
        <f t="shared" si="2"/>
        <v>3</v>
      </c>
      <c r="Q58" s="91">
        <f t="shared" si="3"/>
        <v>3</v>
      </c>
      <c r="R58" s="91">
        <f t="shared" si="4"/>
        <v>0.1</v>
      </c>
      <c r="V58" s="17">
        <f t="shared" si="5"/>
        <v>0</v>
      </c>
      <c r="W58" s="18">
        <f t="shared" si="6"/>
        <v>0.9666666667</v>
      </c>
      <c r="X58" s="18">
        <f t="shared" si="7"/>
        <v>0.9666666667</v>
      </c>
      <c r="Y58" s="92">
        <f>IFERROR(__xludf.DUMMYFUNCTION("IF(ISNUMBER(W58),
   IFERROR( W58 / AVERAGE( FILTER($W$2:$W1031, $A$2:$A1031=$A58, ISNUMBER($W$2:$W1031)) ), 1 ),
"""")"),1.0)</f>
        <v>1</v>
      </c>
      <c r="Z58" s="93">
        <f>IFERROR(__xludf.DUMMYFUNCTION("IF(ISNUMBER(X58),
   IFERROR( X58 / AVERAGE( FILTER($X$2:$X1031, $A$2:$A1031=$A58, ISNUMBER($X$2:$X1031)) ), 1 ),
"""")"),1.0)</f>
        <v>1</v>
      </c>
      <c r="AA58" s="92">
        <f t="shared" si="8"/>
        <v>2</v>
      </c>
    </row>
    <row r="59">
      <c r="A59" s="50"/>
      <c r="C59" s="10"/>
      <c r="E59" s="10"/>
      <c r="G59" s="82"/>
      <c r="H59" s="50"/>
      <c r="I59" s="10"/>
      <c r="J59" s="10"/>
      <c r="K59" s="83"/>
      <c r="L59" s="116"/>
      <c r="M59" s="116"/>
      <c r="N59" s="116"/>
      <c r="O59" s="116" t="b">
        <f t="shared" si="1"/>
        <v>1</v>
      </c>
      <c r="P59" s="117">
        <f t="shared" si="2"/>
        <v>0</v>
      </c>
      <c r="Q59" s="10">
        <f t="shared" si="3"/>
        <v>0.1</v>
      </c>
      <c r="R59" s="10">
        <f t="shared" si="4"/>
        <v>0.1</v>
      </c>
      <c r="V59" s="17">
        <f t="shared" si="5"/>
        <v>0</v>
      </c>
      <c r="W59" s="18">
        <f t="shared" si="6"/>
        <v>0</v>
      </c>
      <c r="X59" s="18" t="str">
        <f t="shared" si="7"/>
        <v>#DIV/0!</v>
      </c>
      <c r="Y59" s="51">
        <f>IFERROR(__xludf.DUMMYFUNCTION("IF(ISNUMBER(W59),
   IFERROR( W59 / AVERAGE( FILTER($W$2:$W1031, $A$2:$A1031=$A59, ISNUMBER($W$2:$W1031)) ), 1 ),
"""")"),1.0)</f>
        <v>1</v>
      </c>
      <c r="Z59" s="50" t="str">
        <f>IFERROR(__xludf.DUMMYFUNCTION("IF(ISNUMBER(X59),
   IFERROR( X59 / AVERAGE( FILTER($X$2:$X1031, $A$2:$A1031=$A59, ISNUMBER($X$2:$X1031)) ), 1 ),
"""")"),"")</f>
        <v/>
      </c>
      <c r="AA59" s="51" t="str">
        <f t="shared" si="8"/>
        <v/>
      </c>
    </row>
    <row r="60">
      <c r="A60" s="84" t="s">
        <v>132</v>
      </c>
      <c r="B60" s="85" t="s">
        <v>133</v>
      </c>
      <c r="C60" s="86">
        <v>1.7</v>
      </c>
      <c r="D60" s="85" t="s">
        <v>134</v>
      </c>
      <c r="E60" s="86">
        <v>2.0</v>
      </c>
      <c r="F60" s="85" t="s">
        <v>135</v>
      </c>
      <c r="G60" s="87">
        <v>1.0</v>
      </c>
      <c r="H60" s="84" t="s">
        <v>136</v>
      </c>
      <c r="I60" s="86">
        <v>0.0</v>
      </c>
      <c r="J60" s="86">
        <v>0.0</v>
      </c>
      <c r="K60" s="88">
        <v>1.0</v>
      </c>
      <c r="L60" s="89" t="s">
        <v>137</v>
      </c>
      <c r="M60" s="89" t="s">
        <v>95</v>
      </c>
      <c r="N60" s="89" t="s">
        <v>95</v>
      </c>
      <c r="O60" s="89" t="b">
        <f t="shared" si="1"/>
        <v>0</v>
      </c>
      <c r="P60" s="119">
        <f t="shared" si="2"/>
        <v>12</v>
      </c>
      <c r="Q60" s="91">
        <f t="shared" si="3"/>
        <v>3.4</v>
      </c>
      <c r="R60" s="91">
        <f t="shared" si="4"/>
        <v>0.1</v>
      </c>
      <c r="V60" s="17">
        <f t="shared" si="5"/>
        <v>0</v>
      </c>
      <c r="W60" s="18">
        <f t="shared" si="6"/>
        <v>0.9705882353</v>
      </c>
      <c r="X60" s="18">
        <f t="shared" si="7"/>
        <v>0.275</v>
      </c>
      <c r="Y60" s="92">
        <f>IFERROR(__xludf.DUMMYFUNCTION("IF(ISNUMBER(W60),
   IFERROR( W60 / AVERAGE( FILTER($W$2:$W1031, $A$2:$A1031=$A60, ISNUMBER($W$2:$W1031)) ), 1 ),
"""")"),1.0)</f>
        <v>1</v>
      </c>
      <c r="Z60" s="93">
        <f>IFERROR(__xludf.DUMMYFUNCTION("IF(ISNUMBER(X60),
   IFERROR( X60 / AVERAGE( FILTER($X$2:$X1031, $A$2:$A1031=$A60, ISNUMBER($X$2:$X1031)) ), 1 ),
"""")"),1.0)</f>
        <v>1</v>
      </c>
      <c r="AA60" s="92">
        <f t="shared" si="8"/>
        <v>2</v>
      </c>
    </row>
    <row r="61">
      <c r="A61" s="106" t="s">
        <v>138</v>
      </c>
      <c r="B61" s="107" t="s">
        <v>133</v>
      </c>
      <c r="C61" s="108">
        <v>1.7</v>
      </c>
      <c r="D61" s="107" t="s">
        <v>139</v>
      </c>
      <c r="E61" s="108">
        <v>2.0</v>
      </c>
      <c r="F61" s="107" t="s">
        <v>140</v>
      </c>
      <c r="G61" s="109">
        <v>1.0</v>
      </c>
      <c r="H61" s="106" t="s">
        <v>122</v>
      </c>
      <c r="I61" s="108">
        <v>0.0</v>
      </c>
      <c r="J61" s="108">
        <v>0.0</v>
      </c>
      <c r="K61" s="110">
        <v>0.0</v>
      </c>
      <c r="L61" s="111" t="s">
        <v>123</v>
      </c>
      <c r="M61" s="111" t="s">
        <v>123</v>
      </c>
      <c r="N61" s="111" t="s">
        <v>123</v>
      </c>
      <c r="O61" s="111" t="b">
        <f t="shared" si="1"/>
        <v>0</v>
      </c>
      <c r="P61" s="118">
        <f t="shared" si="2"/>
        <v>0</v>
      </c>
      <c r="Q61" s="113">
        <f t="shared" si="3"/>
        <v>3.4</v>
      </c>
      <c r="R61" s="113">
        <f t="shared" si="4"/>
        <v>3.4</v>
      </c>
      <c r="V61" s="17">
        <f t="shared" si="5"/>
        <v>0</v>
      </c>
      <c r="W61" s="18">
        <f t="shared" si="6"/>
        <v>0</v>
      </c>
      <c r="X61" s="18" t="str">
        <f t="shared" si="7"/>
        <v>#DIV/0!</v>
      </c>
      <c r="Y61" s="114">
        <f>IFERROR(__xludf.DUMMYFUNCTION("IF(ISNUMBER(W61),
   IFERROR( W61 / AVERAGE( FILTER($W$2:$W1031, $A$2:$A1031=$A61, ISNUMBER($W$2:$W1031)) ), 1 ),
"""")"),1.0)</f>
        <v>1</v>
      </c>
      <c r="Z61" s="115" t="str">
        <f>IFERROR(__xludf.DUMMYFUNCTION("IF(ISNUMBER(X61),
   IFERROR( X61 / AVERAGE( FILTER($X$2:$X1031, $A$2:$A1031=$A61, ISNUMBER($X$2:$X1031)) ), 1 ),
"""")"),"")</f>
        <v/>
      </c>
      <c r="AA61" s="114" t="str">
        <f t="shared" si="8"/>
        <v/>
      </c>
    </row>
    <row r="62">
      <c r="A62" s="84" t="s">
        <v>141</v>
      </c>
      <c r="B62" s="85" t="s">
        <v>133</v>
      </c>
      <c r="C62" s="86">
        <v>1.7</v>
      </c>
      <c r="D62" s="85" t="s">
        <v>142</v>
      </c>
      <c r="E62" s="86">
        <v>1.0</v>
      </c>
      <c r="F62" s="85" t="s">
        <v>143</v>
      </c>
      <c r="G62" s="87">
        <v>2.0</v>
      </c>
      <c r="H62" s="84" t="s">
        <v>144</v>
      </c>
      <c r="I62" s="86">
        <v>0.0</v>
      </c>
      <c r="J62" s="86">
        <v>1.0</v>
      </c>
      <c r="K62" s="88">
        <v>1.0</v>
      </c>
      <c r="L62" s="89" t="s">
        <v>95</v>
      </c>
      <c r="M62" s="89" t="s">
        <v>95</v>
      </c>
      <c r="N62" s="89" t="s">
        <v>95</v>
      </c>
      <c r="O62" s="89" t="b">
        <f t="shared" si="1"/>
        <v>0</v>
      </c>
      <c r="P62" s="90">
        <f t="shared" si="2"/>
        <v>3</v>
      </c>
      <c r="Q62" s="91">
        <f t="shared" si="3"/>
        <v>3.4</v>
      </c>
      <c r="R62" s="91">
        <f t="shared" si="4"/>
        <v>0.1</v>
      </c>
      <c r="V62" s="17">
        <f t="shared" si="5"/>
        <v>0</v>
      </c>
      <c r="W62" s="18">
        <f t="shared" si="6"/>
        <v>0.9705882353</v>
      </c>
      <c r="X62" s="18">
        <f t="shared" si="7"/>
        <v>1.1</v>
      </c>
      <c r="Y62" s="120">
        <f>IFERROR(__xludf.DUMMYFUNCTION("IF(ISNUMBER(W62),
   IFERROR( W62 / AVERAGE( FILTER($W$2:$W1031, $A$2:$A1031=$A62, ISNUMBER($W$2:$W1031)) ), 1 ),
"""")"),1.0)</f>
        <v>1</v>
      </c>
      <c r="Z62" s="93">
        <f>IFERROR(__xludf.DUMMYFUNCTION("IF(ISNUMBER(X62),
   IFERROR( X62 / AVERAGE( FILTER($X$2:$X1031, $A$2:$A1031=$A62, ISNUMBER($X$2:$X1031)) ), 1 ),
"""")"),1.0)</f>
        <v>1</v>
      </c>
      <c r="AA62" s="92">
        <f t="shared" si="8"/>
        <v>2</v>
      </c>
    </row>
    <row r="63">
      <c r="A63" s="50"/>
      <c r="C63" s="10"/>
      <c r="E63" s="10"/>
      <c r="G63" s="82"/>
      <c r="H63" s="50"/>
      <c r="I63" s="10"/>
      <c r="J63" s="10"/>
      <c r="K63" s="83"/>
      <c r="L63" s="116"/>
      <c r="M63" s="116"/>
      <c r="N63" s="116"/>
      <c r="O63" s="116" t="b">
        <f t="shared" si="1"/>
        <v>1</v>
      </c>
      <c r="P63" s="117">
        <f t="shared" si="2"/>
        <v>0</v>
      </c>
      <c r="Q63" s="10">
        <f t="shared" si="3"/>
        <v>0.1</v>
      </c>
      <c r="R63" s="10">
        <f t="shared" si="4"/>
        <v>0.1</v>
      </c>
      <c r="V63" s="17">
        <f t="shared" si="5"/>
        <v>0</v>
      </c>
      <c r="W63" s="18">
        <f t="shared" si="6"/>
        <v>0</v>
      </c>
      <c r="X63" s="18" t="str">
        <f t="shared" si="7"/>
        <v>#DIV/0!</v>
      </c>
      <c r="Y63" s="49">
        <f>IFERROR(__xludf.DUMMYFUNCTION("IF(ISNUMBER(W63),
   IFERROR( W63 / AVERAGE( FILTER($W$2:$W1031, $A$2:$A1031=$A63, ISNUMBER($W$2:$W1031)) ), 1 ),
"""")"),1.0)</f>
        <v>1</v>
      </c>
      <c r="Z63" s="50" t="str">
        <f>IFERROR(__xludf.DUMMYFUNCTION("IF(ISNUMBER(X63),
   IFERROR( X63 / AVERAGE( FILTER($X$2:$X1031, $A$2:$A1031=$A63, ISNUMBER($X$2:$X1031)) ), 1 ),
"""")"),"")</f>
        <v/>
      </c>
      <c r="AA63" s="51" t="str">
        <f t="shared" si="8"/>
        <v/>
      </c>
    </row>
    <row r="64">
      <c r="A64" s="84" t="s">
        <v>145</v>
      </c>
      <c r="B64" s="85" t="s">
        <v>146</v>
      </c>
      <c r="C64" s="86">
        <v>1.7</v>
      </c>
      <c r="D64" s="85" t="s">
        <v>147</v>
      </c>
      <c r="E64" s="86">
        <v>3.0</v>
      </c>
      <c r="F64" s="85" t="s">
        <v>148</v>
      </c>
      <c r="G64" s="87">
        <v>1.0</v>
      </c>
      <c r="H64" s="84" t="s">
        <v>149</v>
      </c>
      <c r="I64" s="86">
        <v>0.0</v>
      </c>
      <c r="J64" s="86">
        <v>0.0</v>
      </c>
      <c r="K64" s="88">
        <v>1.0</v>
      </c>
      <c r="L64" s="89" t="s">
        <v>94</v>
      </c>
      <c r="M64" s="89" t="s">
        <v>95</v>
      </c>
      <c r="N64" s="89" t="s">
        <v>95</v>
      </c>
      <c r="O64" s="89" t="b">
        <f t="shared" si="1"/>
        <v>0</v>
      </c>
      <c r="P64" s="119">
        <f t="shared" si="2"/>
        <v>7</v>
      </c>
      <c r="Q64" s="91">
        <f t="shared" si="3"/>
        <v>5.1</v>
      </c>
      <c r="R64" s="91">
        <f t="shared" si="4"/>
        <v>0.1</v>
      </c>
      <c r="V64" s="17">
        <f t="shared" si="5"/>
        <v>0</v>
      </c>
      <c r="W64" s="18">
        <f t="shared" si="6"/>
        <v>0.9803921569</v>
      </c>
      <c r="X64" s="18">
        <f t="shared" si="7"/>
        <v>0.7142857143</v>
      </c>
      <c r="Y64" s="92">
        <f>IFERROR(__xludf.DUMMYFUNCTION("IF(ISNUMBER(W64),
   IFERROR( W64 / AVERAGE( FILTER($W$2:$W1031, $A$2:$A1031=$A64, ISNUMBER($W$2:$W1031)) ), 1 ),
"""")"),1.0)</f>
        <v>1</v>
      </c>
      <c r="Z64" s="93">
        <f>IFERROR(__xludf.DUMMYFUNCTION("IF(ISNUMBER(X64),
   IFERROR( X64 / AVERAGE( FILTER($X$2:$X1031, $A$2:$A1031=$A64, ISNUMBER($X$2:$X1031)) ), 1 ),
"""")"),1.0)</f>
        <v>1</v>
      </c>
      <c r="AA64" s="92">
        <f t="shared" si="8"/>
        <v>2</v>
      </c>
    </row>
    <row r="65">
      <c r="A65" s="84" t="s">
        <v>150</v>
      </c>
      <c r="B65" s="85" t="s">
        <v>146</v>
      </c>
      <c r="C65" s="86">
        <v>3.0</v>
      </c>
      <c r="D65" s="85" t="s">
        <v>151</v>
      </c>
      <c r="E65" s="86">
        <v>3.0</v>
      </c>
      <c r="F65" s="85" t="s">
        <v>152</v>
      </c>
      <c r="G65" s="87">
        <v>1.0</v>
      </c>
      <c r="H65" s="84" t="s">
        <v>153</v>
      </c>
      <c r="I65" s="86">
        <v>0.0</v>
      </c>
      <c r="J65" s="86">
        <v>0.0</v>
      </c>
      <c r="K65" s="88">
        <v>1.0</v>
      </c>
      <c r="L65" s="89" t="s">
        <v>95</v>
      </c>
      <c r="M65" s="89" t="s">
        <v>95</v>
      </c>
      <c r="N65" s="89" t="s">
        <v>95</v>
      </c>
      <c r="O65" s="89" t="s">
        <v>154</v>
      </c>
      <c r="P65" s="90">
        <f t="shared" si="2"/>
        <v>3</v>
      </c>
      <c r="Q65" s="91">
        <f t="shared" si="3"/>
        <v>9</v>
      </c>
      <c r="R65" s="91">
        <f t="shared" si="4"/>
        <v>0.1</v>
      </c>
      <c r="V65" s="17">
        <f t="shared" si="5"/>
        <v>0</v>
      </c>
      <c r="W65" s="18">
        <f t="shared" si="6"/>
        <v>0.9888888889</v>
      </c>
      <c r="X65" s="18">
        <f t="shared" si="7"/>
        <v>2.966666667</v>
      </c>
      <c r="Y65" s="92">
        <f>IFERROR(__xludf.DUMMYFUNCTION("IF(ISNUMBER(W65),
   IFERROR( W65 / AVERAGE( FILTER($W$2:$W1031, $A$2:$A1031=$A65, ISNUMBER($W$2:$W1031)) ), 1 ),
"""")"),1.0)</f>
        <v>1</v>
      </c>
      <c r="Z65" s="93">
        <f>IFERROR(__xludf.DUMMYFUNCTION("IF(ISNUMBER(X65),
   IFERROR( X65 / AVERAGE( FILTER($X$2:$X1031, $A$2:$A1031=$A65, ISNUMBER($X$2:$X1031)) ), 1 ),
"""")"),1.0)</f>
        <v>1</v>
      </c>
      <c r="AA65" s="92">
        <f t="shared" si="8"/>
        <v>2</v>
      </c>
    </row>
    <row r="66">
      <c r="A66" s="84" t="s">
        <v>155</v>
      </c>
      <c r="B66" s="85" t="s">
        <v>146</v>
      </c>
      <c r="C66" s="86">
        <v>2.3</v>
      </c>
      <c r="D66" s="85" t="s">
        <v>156</v>
      </c>
      <c r="E66" s="86">
        <v>3.0</v>
      </c>
      <c r="F66" s="85" t="s">
        <v>157</v>
      </c>
      <c r="G66" s="87">
        <v>1.0</v>
      </c>
      <c r="H66" s="84" t="s">
        <v>158</v>
      </c>
      <c r="I66" s="86">
        <v>0.0</v>
      </c>
      <c r="J66" s="86">
        <v>0.0</v>
      </c>
      <c r="K66" s="88">
        <v>1.0</v>
      </c>
      <c r="L66" s="89" t="s">
        <v>95</v>
      </c>
      <c r="M66" s="89" t="s">
        <v>95</v>
      </c>
      <c r="N66" s="89" t="s">
        <v>95</v>
      </c>
      <c r="O66" s="89" t="s">
        <v>154</v>
      </c>
      <c r="P66" s="90">
        <f t="shared" si="2"/>
        <v>3</v>
      </c>
      <c r="Q66" s="91">
        <f t="shared" si="3"/>
        <v>6.9</v>
      </c>
      <c r="R66" s="91">
        <f t="shared" si="4"/>
        <v>0.1</v>
      </c>
      <c r="V66" s="17">
        <f t="shared" si="5"/>
        <v>0</v>
      </c>
      <c r="W66" s="18">
        <f t="shared" si="6"/>
        <v>0.9855072464</v>
      </c>
      <c r="X66" s="18">
        <f t="shared" si="7"/>
        <v>2.266666667</v>
      </c>
      <c r="Y66" s="92">
        <f>IFERROR(__xludf.DUMMYFUNCTION("IF(ISNUMBER(W66),
   IFERROR( W66 / AVERAGE( FILTER($W$2:$W1031, $A$2:$A1031=$A66, ISNUMBER($W$2:$W1031)) ), 1 ),
"""")"),1.0)</f>
        <v>1</v>
      </c>
      <c r="Z66" s="93">
        <f>IFERROR(__xludf.DUMMYFUNCTION("IF(ISNUMBER(X66),
   IFERROR( X66 / AVERAGE( FILTER($X$2:$X1031, $A$2:$A1031=$A66, ISNUMBER($X$2:$X1031)) ), 1 ),
"""")"),1.0)</f>
        <v>1</v>
      </c>
      <c r="AA66" s="92">
        <f t="shared" si="8"/>
        <v>2</v>
      </c>
    </row>
    <row r="67">
      <c r="A67" s="84" t="s">
        <v>159</v>
      </c>
      <c r="B67" s="85" t="s">
        <v>146</v>
      </c>
      <c r="C67" s="86">
        <v>1.0</v>
      </c>
      <c r="D67" s="85" t="s">
        <v>160</v>
      </c>
      <c r="E67" s="86">
        <v>2.0</v>
      </c>
      <c r="F67" s="85" t="s">
        <v>161</v>
      </c>
      <c r="G67" s="87">
        <v>1.0</v>
      </c>
      <c r="H67" s="84" t="s">
        <v>162</v>
      </c>
      <c r="I67" s="86">
        <v>0.0</v>
      </c>
      <c r="J67" s="86">
        <v>0.0</v>
      </c>
      <c r="K67" s="88">
        <v>1.0</v>
      </c>
      <c r="L67" s="89" t="s">
        <v>95</v>
      </c>
      <c r="M67" s="89" t="s">
        <v>95</v>
      </c>
      <c r="N67" s="89" t="s">
        <v>163</v>
      </c>
      <c r="O67" s="89" t="b">
        <f t="shared" ref="O67:O86" si="9"> N67 &lt;= 0.1</f>
        <v>0</v>
      </c>
      <c r="P67" s="90">
        <f t="shared" si="2"/>
        <v>4</v>
      </c>
      <c r="Q67" s="91">
        <f t="shared" si="3"/>
        <v>2</v>
      </c>
      <c r="R67" s="91">
        <f t="shared" si="4"/>
        <v>0.1</v>
      </c>
      <c r="V67" s="17">
        <f t="shared" si="5"/>
        <v>0</v>
      </c>
      <c r="W67" s="18">
        <f t="shared" si="6"/>
        <v>0.95</v>
      </c>
      <c r="X67" s="18">
        <f t="shared" si="7"/>
        <v>0.475</v>
      </c>
      <c r="Y67" s="92">
        <f>IFERROR(__xludf.DUMMYFUNCTION("IF(ISNUMBER(W67),
   IFERROR( W67 / AVERAGE( FILTER($W$2:$W1031, $A$2:$A1031=$A67, ISNUMBER($W$2:$W1031)) ), 1 ),
"""")"),1.5833333333333333)</f>
        <v>1.583333333</v>
      </c>
      <c r="Z67" s="93">
        <f>IFERROR(__xludf.DUMMYFUNCTION("IF(ISNUMBER(X67),
   IFERROR( X67 / AVERAGE( FILTER($X$2:$X1031, $A$2:$A1031=$A67, ISNUMBER($X$2:$X1031)) ), 1 ),
"""")"),1.5833333333333333)</f>
        <v>1.583333333</v>
      </c>
      <c r="AA67" s="92">
        <f t="shared" si="8"/>
        <v>3.166666667</v>
      </c>
    </row>
    <row r="68">
      <c r="A68" s="106" t="s">
        <v>159</v>
      </c>
      <c r="B68" s="107" t="s">
        <v>146</v>
      </c>
      <c r="C68" s="108">
        <v>1.0</v>
      </c>
      <c r="D68" s="107" t="s">
        <v>160</v>
      </c>
      <c r="E68" s="108">
        <v>2.0</v>
      </c>
      <c r="F68" s="107" t="s">
        <v>161</v>
      </c>
      <c r="G68" s="109">
        <v>1.0</v>
      </c>
      <c r="H68" s="106" t="s">
        <v>164</v>
      </c>
      <c r="I68" s="108">
        <v>0.0</v>
      </c>
      <c r="J68" s="108">
        <v>0.5</v>
      </c>
      <c r="K68" s="110">
        <v>0.0</v>
      </c>
      <c r="L68" s="111" t="s">
        <v>95</v>
      </c>
      <c r="M68" s="111" t="s">
        <v>95</v>
      </c>
      <c r="N68" s="111" t="s">
        <v>163</v>
      </c>
      <c r="O68" s="111" t="b">
        <f t="shared" si="9"/>
        <v>0</v>
      </c>
      <c r="P68" s="121">
        <f t="shared" si="2"/>
        <v>4</v>
      </c>
      <c r="Q68" s="113">
        <f t="shared" si="3"/>
        <v>2</v>
      </c>
      <c r="R68" s="113">
        <f t="shared" si="4"/>
        <v>1.5</v>
      </c>
      <c r="V68" s="17">
        <f t="shared" si="5"/>
        <v>0</v>
      </c>
      <c r="W68" s="18">
        <f t="shared" si="6"/>
        <v>0.25</v>
      </c>
      <c r="X68" s="18">
        <f t="shared" si="7"/>
        <v>0.125</v>
      </c>
      <c r="Y68" s="114">
        <f>IFERROR(__xludf.DUMMYFUNCTION("IF(ISNUMBER(W68),
   IFERROR( W68 / AVERAGE( FILTER($W$2:$W1031, $A$2:$A1031=$A68, ISNUMBER($W$2:$W1031)) ), 1 ),
"""")"),0.4166666666666667)</f>
        <v>0.4166666667</v>
      </c>
      <c r="Z68" s="115">
        <f>IFERROR(__xludf.DUMMYFUNCTION("IF(ISNUMBER(X68),
   IFERROR( X68 / AVERAGE( FILTER($X$2:$X1031, $A$2:$A1031=$A68, ISNUMBER($X$2:$X1031)) ), 1 ),
"""")"),0.4166666666666667)</f>
        <v>0.4166666667</v>
      </c>
      <c r="AA68" s="114">
        <f t="shared" si="8"/>
        <v>0.8333333333</v>
      </c>
    </row>
    <row r="69">
      <c r="A69" s="50"/>
      <c r="C69" s="10"/>
      <c r="E69" s="10"/>
      <c r="G69" s="82"/>
      <c r="H69" s="50"/>
      <c r="I69" s="10"/>
      <c r="J69" s="10"/>
      <c r="K69" s="83"/>
      <c r="L69" s="10"/>
      <c r="M69" s="10"/>
      <c r="N69" s="10"/>
      <c r="O69" s="10" t="b">
        <f t="shared" si="9"/>
        <v>1</v>
      </c>
      <c r="P69" s="82">
        <f t="shared" si="2"/>
        <v>0</v>
      </c>
      <c r="Q69" s="10">
        <f t="shared" si="3"/>
        <v>0.1</v>
      </c>
      <c r="R69" s="10">
        <f t="shared" si="4"/>
        <v>0.1</v>
      </c>
      <c r="V69" s="17">
        <f t="shared" si="5"/>
        <v>0</v>
      </c>
      <c r="W69" s="18">
        <f t="shared" si="6"/>
        <v>0</v>
      </c>
      <c r="X69" s="18" t="str">
        <f t="shared" si="7"/>
        <v>#DIV/0!</v>
      </c>
      <c r="Y69" s="49">
        <f>IFERROR(__xludf.DUMMYFUNCTION("IF(ISNUMBER(W69),
   IFERROR( W69 / AVERAGE( FILTER($W$2:$W1031, $A$2:$A1031=$A69, ISNUMBER($W$2:$W1031)) ), 1 ),
"""")"),1.0)</f>
        <v>1</v>
      </c>
      <c r="Z69" s="50" t="str">
        <f>IFERROR(__xludf.DUMMYFUNCTION("IF(ISNUMBER(X69),
   IFERROR( X69 / AVERAGE( FILTER($X$2:$X1031, $A$2:$A1031=$A69, ISNUMBER($X$2:$X1031)) ), 1 ),
"""")"),"")</f>
        <v/>
      </c>
      <c r="AA69" s="51" t="str">
        <f t="shared" si="8"/>
        <v/>
      </c>
    </row>
    <row r="70">
      <c r="A70" s="50"/>
      <c r="C70" s="10"/>
      <c r="E70" s="10"/>
      <c r="G70" s="82"/>
      <c r="H70" s="50"/>
      <c r="I70" s="10"/>
      <c r="J70" s="10"/>
      <c r="K70" s="83"/>
      <c r="L70" s="10"/>
      <c r="M70" s="10"/>
      <c r="N70" s="10"/>
      <c r="O70" s="10" t="b">
        <f t="shared" si="9"/>
        <v>1</v>
      </c>
      <c r="P70" s="82">
        <f t="shared" si="2"/>
        <v>0</v>
      </c>
      <c r="Q70" s="10">
        <f t="shared" si="3"/>
        <v>0.1</v>
      </c>
      <c r="R70" s="10">
        <f t="shared" si="4"/>
        <v>0.1</v>
      </c>
      <c r="V70" s="17">
        <f t="shared" si="5"/>
        <v>0</v>
      </c>
      <c r="W70" s="18">
        <f t="shared" si="6"/>
        <v>0</v>
      </c>
      <c r="X70" s="18" t="str">
        <f t="shared" si="7"/>
        <v>#DIV/0!</v>
      </c>
      <c r="Y70" s="49">
        <f>IFERROR(__xludf.DUMMYFUNCTION("IF(ISNUMBER(W70),
   IFERROR( W70 / AVERAGE( FILTER($W$2:$W1031, $A$2:$A1031=$A70, ISNUMBER($W$2:$W1031)) ), 1 ),
"""")"),1.0)</f>
        <v>1</v>
      </c>
      <c r="Z70" s="50" t="str">
        <f>IFERROR(__xludf.DUMMYFUNCTION("IF(ISNUMBER(X70),
   IFERROR( X70 / AVERAGE( FILTER($X$2:$X1031, $A$2:$A1031=$A70, ISNUMBER($X$2:$X1031)) ), 1 ),
"""")"),"")</f>
        <v/>
      </c>
      <c r="AA70" s="51" t="str">
        <f t="shared" si="8"/>
        <v/>
      </c>
    </row>
    <row r="71">
      <c r="A71" s="50"/>
      <c r="C71" s="10"/>
      <c r="E71" s="10"/>
      <c r="G71" s="82"/>
      <c r="H71" s="50"/>
      <c r="I71" s="10"/>
      <c r="J71" s="10"/>
      <c r="K71" s="83"/>
      <c r="L71" s="10"/>
      <c r="M71" s="10"/>
      <c r="N71" s="10"/>
      <c r="O71" s="10" t="b">
        <f t="shared" si="9"/>
        <v>1</v>
      </c>
      <c r="P71" s="82">
        <f t="shared" si="2"/>
        <v>0</v>
      </c>
      <c r="Q71" s="10">
        <f t="shared" si="3"/>
        <v>0.1</v>
      </c>
      <c r="R71" s="10">
        <f t="shared" si="4"/>
        <v>0.1</v>
      </c>
      <c r="V71" s="17">
        <f t="shared" si="5"/>
        <v>0</v>
      </c>
      <c r="W71" s="18">
        <f t="shared" si="6"/>
        <v>0</v>
      </c>
      <c r="X71" s="18" t="str">
        <f t="shared" si="7"/>
        <v>#DIV/0!</v>
      </c>
      <c r="Y71" s="49">
        <f>IFERROR(__xludf.DUMMYFUNCTION("IF(ISNUMBER(W71),
   IFERROR( W71 / AVERAGE( FILTER($W$2:$W1031, $A$2:$A1031=$A71, ISNUMBER($W$2:$W1031)) ), 1 ),
"""")"),1.0)</f>
        <v>1</v>
      </c>
      <c r="Z71" s="50" t="str">
        <f>IFERROR(__xludf.DUMMYFUNCTION("IF(ISNUMBER(X71),
   IFERROR( X71 / AVERAGE( FILTER($X$2:$X1031, $A$2:$A1031=$A71, ISNUMBER($X$2:$X1031)) ), 1 ),
"""")"),"")</f>
        <v/>
      </c>
      <c r="AA71" s="51" t="str">
        <f t="shared" si="8"/>
        <v/>
      </c>
    </row>
    <row r="72">
      <c r="A72" s="122" t="s">
        <v>165</v>
      </c>
      <c r="B72" s="123" t="s">
        <v>74</v>
      </c>
      <c r="C72" s="124">
        <v>1.3</v>
      </c>
      <c r="D72" s="123" t="s">
        <v>166</v>
      </c>
      <c r="E72" s="124">
        <v>2.0</v>
      </c>
      <c r="F72" s="123" t="s">
        <v>167</v>
      </c>
      <c r="G72" s="125">
        <v>2.0</v>
      </c>
      <c r="H72" s="122" t="s">
        <v>168</v>
      </c>
      <c r="I72" s="124">
        <v>0.0</v>
      </c>
      <c r="J72" s="124">
        <v>2.0</v>
      </c>
      <c r="K72" s="126">
        <v>0.0</v>
      </c>
      <c r="L72" s="124">
        <v>0.0</v>
      </c>
      <c r="M72" s="124">
        <v>0.0</v>
      </c>
      <c r="N72" s="124">
        <v>0.2</v>
      </c>
      <c r="O72" s="124" t="b">
        <f t="shared" si="9"/>
        <v>0</v>
      </c>
      <c r="P72" s="125">
        <f t="shared" si="2"/>
        <v>0.2</v>
      </c>
      <c r="Q72" s="127">
        <f t="shared" si="3"/>
        <v>5.2</v>
      </c>
      <c r="R72" s="127">
        <f t="shared" si="4"/>
        <v>0.1</v>
      </c>
      <c r="V72" s="17">
        <f t="shared" si="5"/>
        <v>0</v>
      </c>
      <c r="W72" s="18">
        <f t="shared" si="6"/>
        <v>0.9807692308</v>
      </c>
      <c r="X72" s="18">
        <f t="shared" si="7"/>
        <v>25.5</v>
      </c>
      <c r="Y72" s="128">
        <f>IFERROR(__xludf.DUMMYFUNCTION("IF(ISNUMBER(W72),
   IFERROR( W72 / AVERAGE( FILTER($W$2:$W1031, $A$2:$A1031=$A72, ISNUMBER($W$2:$W1031)) ), 1 ),
"""")"),1.3246753246753247)</f>
        <v>1.324675325</v>
      </c>
      <c r="Z72" s="129">
        <f>IFERROR(__xludf.DUMMYFUNCTION("IF(ISNUMBER(X72),
   IFERROR( X72 / AVERAGE( FILTER($X$2:$X1031, $A$2:$A1031=$A72, ISNUMBER($X$2:$X1031)) ), 1 ),
"""")"),1.8149466192170818)</f>
        <v>1.814946619</v>
      </c>
      <c r="AA72" s="128">
        <f t="shared" si="8"/>
        <v>3.139621944</v>
      </c>
    </row>
    <row r="73">
      <c r="A73" s="130" t="s">
        <v>165</v>
      </c>
      <c r="B73" s="131" t="s">
        <v>74</v>
      </c>
      <c r="C73" s="132">
        <v>1.3</v>
      </c>
      <c r="D73" s="131" t="s">
        <v>166</v>
      </c>
      <c r="E73" s="132">
        <v>2.0</v>
      </c>
      <c r="F73" s="131" t="s">
        <v>167</v>
      </c>
      <c r="G73" s="133">
        <v>2.0</v>
      </c>
      <c r="H73" s="130" t="s">
        <v>169</v>
      </c>
      <c r="I73" s="132">
        <v>0.0</v>
      </c>
      <c r="J73" s="132">
        <v>1.0</v>
      </c>
      <c r="K73" s="134">
        <v>0.0</v>
      </c>
      <c r="L73" s="132">
        <v>0.0</v>
      </c>
      <c r="M73" s="132">
        <v>1.0</v>
      </c>
      <c r="N73" s="132">
        <v>0.0</v>
      </c>
      <c r="O73" s="132" t="b">
        <f t="shared" si="9"/>
        <v>1</v>
      </c>
      <c r="P73" s="133">
        <f t="shared" si="2"/>
        <v>1</v>
      </c>
      <c r="Q73" s="135">
        <f t="shared" si="3"/>
        <v>5.2</v>
      </c>
      <c r="R73" s="135">
        <f t="shared" si="4"/>
        <v>2.6</v>
      </c>
      <c r="V73" s="17">
        <f t="shared" si="5"/>
        <v>0</v>
      </c>
      <c r="W73" s="18">
        <f t="shared" si="6"/>
        <v>0.5</v>
      </c>
      <c r="X73" s="18">
        <f t="shared" si="7"/>
        <v>2.6</v>
      </c>
      <c r="Y73" s="136">
        <f>IFERROR(__xludf.DUMMYFUNCTION("IF(ISNUMBER(W73),
   IFERROR( W73 / AVERAGE( FILTER($W$2:$W1031, $A$2:$A1031=$A73, ISNUMBER($W$2:$W1031)) ), 1 ),
"""")"),0.6753246753246753)</f>
        <v>0.6753246753</v>
      </c>
      <c r="Z73" s="137">
        <f>IFERROR(__xludf.DUMMYFUNCTION("IF(ISNUMBER(X73),
   IFERROR( X73 / AVERAGE( FILTER($X$2:$X1031, $A$2:$A1031=$A73, ISNUMBER($X$2:$X1031)) ), 1 ),
"""")"),0.18505338078291814)</f>
        <v>0.1850533808</v>
      </c>
      <c r="AA73" s="136">
        <f t="shared" si="8"/>
        <v>0.8603780561</v>
      </c>
    </row>
    <row r="74">
      <c r="A74" s="122" t="s">
        <v>170</v>
      </c>
      <c r="B74" s="123" t="s">
        <v>74</v>
      </c>
      <c r="C74" s="124">
        <v>1.3</v>
      </c>
      <c r="D74" s="123" t="s">
        <v>171</v>
      </c>
      <c r="E74" s="124">
        <v>2.0</v>
      </c>
      <c r="F74" s="123" t="s">
        <v>167</v>
      </c>
      <c r="G74" s="125">
        <v>2.0</v>
      </c>
      <c r="H74" s="122" t="s">
        <v>172</v>
      </c>
      <c r="I74" s="124">
        <v>0.0</v>
      </c>
      <c r="J74" s="124">
        <v>1.5</v>
      </c>
      <c r="K74" s="126">
        <v>0.0</v>
      </c>
      <c r="L74" s="124">
        <v>0.0</v>
      </c>
      <c r="M74" s="124">
        <v>0.0</v>
      </c>
      <c r="N74" s="124">
        <v>0.2</v>
      </c>
      <c r="O74" s="124" t="b">
        <f t="shared" si="9"/>
        <v>0</v>
      </c>
      <c r="P74" s="125">
        <f t="shared" si="2"/>
        <v>0.2</v>
      </c>
      <c r="Q74" s="127">
        <f t="shared" si="3"/>
        <v>5.2</v>
      </c>
      <c r="R74" s="127">
        <f t="shared" si="4"/>
        <v>1.3</v>
      </c>
      <c r="V74" s="17">
        <f t="shared" si="5"/>
        <v>0</v>
      </c>
      <c r="W74" s="18">
        <f t="shared" si="6"/>
        <v>0.75</v>
      </c>
      <c r="X74" s="18">
        <f t="shared" si="7"/>
        <v>19.5</v>
      </c>
      <c r="Y74" s="128">
        <f>IFERROR(__xludf.DUMMYFUNCTION("IF(ISNUMBER(W74),
   IFERROR( W74 / AVERAGE( FILTER($W$2:$W1031, $A$2:$A1031=$A74, ISNUMBER($W$2:$W1031)) ), 1 ),
"""")"),1.2)</f>
        <v>1.2</v>
      </c>
      <c r="Z74" s="129">
        <f>IFERROR(__xludf.DUMMYFUNCTION("IF(ISNUMBER(X74),
   IFERROR( X74 / AVERAGE( FILTER($X$2:$X1031, $A$2:$A1031=$A74, ISNUMBER($X$2:$X1031)) ), 1 ),
"""")"),1.875)</f>
        <v>1.875</v>
      </c>
      <c r="AA74" s="128">
        <f t="shared" si="8"/>
        <v>3.075</v>
      </c>
    </row>
    <row r="75">
      <c r="A75" s="130" t="s">
        <v>170</v>
      </c>
      <c r="B75" s="131" t="s">
        <v>74</v>
      </c>
      <c r="C75" s="132">
        <v>1.3</v>
      </c>
      <c r="D75" s="131" t="s">
        <v>171</v>
      </c>
      <c r="E75" s="132">
        <v>2.0</v>
      </c>
      <c r="F75" s="131" t="s">
        <v>167</v>
      </c>
      <c r="G75" s="133">
        <v>2.0</v>
      </c>
      <c r="H75" s="130" t="s">
        <v>173</v>
      </c>
      <c r="I75" s="132">
        <v>0.0</v>
      </c>
      <c r="J75" s="132">
        <v>1.0</v>
      </c>
      <c r="K75" s="134">
        <v>0.0</v>
      </c>
      <c r="L75" s="132">
        <v>0.0</v>
      </c>
      <c r="M75" s="132">
        <v>1.0</v>
      </c>
      <c r="N75" s="132">
        <v>1.0</v>
      </c>
      <c r="O75" s="132" t="b">
        <f t="shared" si="9"/>
        <v>0</v>
      </c>
      <c r="P75" s="133">
        <f t="shared" si="2"/>
        <v>2</v>
      </c>
      <c r="Q75" s="135">
        <f t="shared" si="3"/>
        <v>5.2</v>
      </c>
      <c r="R75" s="135">
        <f t="shared" si="4"/>
        <v>2.6</v>
      </c>
      <c r="V75" s="17">
        <f t="shared" si="5"/>
        <v>0</v>
      </c>
      <c r="W75" s="18">
        <f t="shared" si="6"/>
        <v>0.5</v>
      </c>
      <c r="X75" s="18">
        <f t="shared" si="7"/>
        <v>1.3</v>
      </c>
      <c r="Y75" s="136">
        <f>IFERROR(__xludf.DUMMYFUNCTION("IF(ISNUMBER(W75),
   IFERROR( W75 / AVERAGE( FILTER($W$2:$W1031, $A$2:$A1031=$A75, ISNUMBER($W$2:$W1031)) ), 1 ),
"""")"),0.8)</f>
        <v>0.8</v>
      </c>
      <c r="Z75" s="137">
        <f>IFERROR(__xludf.DUMMYFUNCTION("IF(ISNUMBER(X75),
   IFERROR( X75 / AVERAGE( FILTER($X$2:$X1031, $A$2:$A1031=$A75, ISNUMBER($X$2:$X1031)) ), 1 ),
"""")"),0.125)</f>
        <v>0.125</v>
      </c>
      <c r="AA75" s="136">
        <f t="shared" si="8"/>
        <v>0.925</v>
      </c>
    </row>
    <row r="76">
      <c r="A76" s="122" t="s">
        <v>174</v>
      </c>
      <c r="B76" s="123" t="s">
        <v>74</v>
      </c>
      <c r="C76" s="124">
        <v>1.3</v>
      </c>
      <c r="D76" s="123" t="s">
        <v>175</v>
      </c>
      <c r="E76" s="124">
        <v>2.0</v>
      </c>
      <c r="F76" s="123" t="s">
        <v>167</v>
      </c>
      <c r="G76" s="125">
        <v>2.0</v>
      </c>
      <c r="H76" s="122" t="s">
        <v>176</v>
      </c>
      <c r="I76" s="124">
        <v>0.0</v>
      </c>
      <c r="J76" s="124">
        <v>1.0</v>
      </c>
      <c r="K76" s="126">
        <v>0.0</v>
      </c>
      <c r="L76" s="124">
        <v>0.0</v>
      </c>
      <c r="M76" s="124">
        <v>1.0</v>
      </c>
      <c r="N76" s="124">
        <v>0.0</v>
      </c>
      <c r="O76" s="124" t="b">
        <f t="shared" si="9"/>
        <v>1</v>
      </c>
      <c r="P76" s="125">
        <f t="shared" si="2"/>
        <v>1</v>
      </c>
      <c r="Q76" s="127">
        <f t="shared" si="3"/>
        <v>5.2</v>
      </c>
      <c r="R76" s="127">
        <f t="shared" si="4"/>
        <v>2.6</v>
      </c>
      <c r="V76" s="17">
        <f t="shared" si="5"/>
        <v>0</v>
      </c>
      <c r="W76" s="18">
        <f t="shared" si="6"/>
        <v>0.5</v>
      </c>
      <c r="X76" s="18">
        <f t="shared" si="7"/>
        <v>2.6</v>
      </c>
      <c r="Y76" s="128">
        <f>IFERROR(__xludf.DUMMYFUNCTION("IF(ISNUMBER(W76),
   IFERROR( W76 / AVERAGE( FILTER($W$2:$W1031, $A$2:$A1031=$A76, ISNUMBER($W$2:$W1031)) ), 1 ),
"""")"),1.1764705882352942)</f>
        <v>1.176470588</v>
      </c>
      <c r="Z76" s="129">
        <f>IFERROR(__xludf.DUMMYFUNCTION("IF(ISNUMBER(X76),
   IFERROR( X76 / AVERAGE( FILTER($X$2:$X1031, $A$2:$A1031=$A76, ISNUMBER($X$2:$X1031)) ), 1 ),
"""")"),1.263157894736842)</f>
        <v>1.263157895</v>
      </c>
      <c r="AA76" s="128">
        <f t="shared" si="8"/>
        <v>2.439628483</v>
      </c>
    </row>
    <row r="77">
      <c r="A77" s="130" t="s">
        <v>174</v>
      </c>
      <c r="B77" s="131" t="s">
        <v>74</v>
      </c>
      <c r="C77" s="132">
        <v>1.3</v>
      </c>
      <c r="D77" s="131" t="s">
        <v>175</v>
      </c>
      <c r="E77" s="132">
        <v>2.0</v>
      </c>
      <c r="F77" s="131" t="s">
        <v>167</v>
      </c>
      <c r="G77" s="133">
        <v>2.0</v>
      </c>
      <c r="H77" s="130" t="s">
        <v>177</v>
      </c>
      <c r="I77" s="132">
        <v>0.0</v>
      </c>
      <c r="J77" s="132">
        <v>0.7</v>
      </c>
      <c r="K77" s="134">
        <v>0.0</v>
      </c>
      <c r="L77" s="132">
        <v>1.0</v>
      </c>
      <c r="M77" s="132">
        <v>0.0</v>
      </c>
      <c r="N77" s="132">
        <v>0.2</v>
      </c>
      <c r="O77" s="132" t="b">
        <f t="shared" si="9"/>
        <v>0</v>
      </c>
      <c r="P77" s="133">
        <f t="shared" si="2"/>
        <v>1.2</v>
      </c>
      <c r="Q77" s="135">
        <f t="shared" si="3"/>
        <v>5.2</v>
      </c>
      <c r="R77" s="135">
        <f t="shared" si="4"/>
        <v>3.38</v>
      </c>
      <c r="V77" s="17">
        <f t="shared" si="5"/>
        <v>0</v>
      </c>
      <c r="W77" s="18">
        <f t="shared" si="6"/>
        <v>0.35</v>
      </c>
      <c r="X77" s="18">
        <f t="shared" si="7"/>
        <v>1.516666667</v>
      </c>
      <c r="Y77" s="136">
        <f>IFERROR(__xludf.DUMMYFUNCTION("IF(ISNUMBER(W77),
   IFERROR( W77 / AVERAGE( FILTER($W$2:$W1031, $A$2:$A1031=$A77, ISNUMBER($W$2:$W1031)) ), 1 ),
"""")"),0.8235294117647058)</f>
        <v>0.8235294118</v>
      </c>
      <c r="Z77" s="137">
        <f>IFERROR(__xludf.DUMMYFUNCTION("IF(ISNUMBER(X77),
   IFERROR( X77 / AVERAGE( FILTER($X$2:$X1031, $A$2:$A1031=$A77, ISNUMBER($X$2:$X1031)) ), 1 ),
"""")"),0.7368421052631577)</f>
        <v>0.7368421053</v>
      </c>
      <c r="AA77" s="136">
        <f t="shared" si="8"/>
        <v>1.560371517</v>
      </c>
    </row>
    <row r="78">
      <c r="A78" s="122" t="s">
        <v>178</v>
      </c>
      <c r="B78" s="123" t="s">
        <v>74</v>
      </c>
      <c r="C78" s="124">
        <v>1.3</v>
      </c>
      <c r="D78" s="123" t="s">
        <v>179</v>
      </c>
      <c r="E78" s="124">
        <v>2.0</v>
      </c>
      <c r="F78" s="123" t="s">
        <v>180</v>
      </c>
      <c r="G78" s="125">
        <v>1.0</v>
      </c>
      <c r="H78" s="122" t="s">
        <v>181</v>
      </c>
      <c r="I78" s="124">
        <v>0.0</v>
      </c>
      <c r="J78" s="124">
        <v>1.5</v>
      </c>
      <c r="K78" s="126">
        <v>0.0</v>
      </c>
      <c r="L78" s="124">
        <v>0.0</v>
      </c>
      <c r="M78" s="124">
        <v>2.0</v>
      </c>
      <c r="N78" s="124">
        <v>1.0</v>
      </c>
      <c r="O78" s="124" t="b">
        <f t="shared" si="9"/>
        <v>0</v>
      </c>
      <c r="P78" s="125">
        <f t="shared" si="2"/>
        <v>3</v>
      </c>
      <c r="Q78" s="127">
        <f t="shared" si="3"/>
        <v>2.6</v>
      </c>
      <c r="R78" s="127">
        <f t="shared" si="4"/>
        <v>0.65</v>
      </c>
      <c r="V78" s="17">
        <f t="shared" si="5"/>
        <v>0</v>
      </c>
      <c r="W78" s="18">
        <f t="shared" si="6"/>
        <v>0.75</v>
      </c>
      <c r="X78" s="18">
        <f t="shared" si="7"/>
        <v>0.65</v>
      </c>
      <c r="Y78" s="128">
        <f>IFERROR(__xludf.DUMMYFUNCTION("IF(ISNUMBER(W78),
   IFERROR( W78 / AVERAGE( FILTER($W$2:$W1031, $A$2:$A1031=$A78, ISNUMBER($W$2:$W1031)) ), 1 ),
"""")"),1.0)</f>
        <v>1</v>
      </c>
      <c r="Z78" s="129">
        <f>IFERROR(__xludf.DUMMYFUNCTION("IF(ISNUMBER(X78),
   IFERROR( X78 / AVERAGE( FILTER($X$2:$X1031, $A$2:$A1031=$A78, ISNUMBER($X$2:$X1031)) ), 1 ),
"""")"),1.0)</f>
        <v>1</v>
      </c>
      <c r="AA78" s="128">
        <f t="shared" si="8"/>
        <v>2</v>
      </c>
    </row>
    <row r="79">
      <c r="A79" s="122" t="s">
        <v>182</v>
      </c>
      <c r="B79" s="123" t="s">
        <v>48</v>
      </c>
      <c r="C79" s="124">
        <v>0.7</v>
      </c>
      <c r="D79" s="123" t="s">
        <v>166</v>
      </c>
      <c r="E79" s="124">
        <v>2.0</v>
      </c>
      <c r="F79" s="123" t="s">
        <v>167</v>
      </c>
      <c r="G79" s="125">
        <v>2.0</v>
      </c>
      <c r="H79" s="122" t="s">
        <v>168</v>
      </c>
      <c r="I79" s="124">
        <v>0.0</v>
      </c>
      <c r="J79" s="124">
        <v>2.0</v>
      </c>
      <c r="K79" s="126">
        <v>0.0</v>
      </c>
      <c r="L79" s="124">
        <v>0.0</v>
      </c>
      <c r="M79" s="124">
        <v>0.0</v>
      </c>
      <c r="N79" s="124">
        <v>0.2</v>
      </c>
      <c r="O79" s="124" t="b">
        <f t="shared" si="9"/>
        <v>0</v>
      </c>
      <c r="P79" s="125">
        <f t="shared" si="2"/>
        <v>0.2</v>
      </c>
      <c r="Q79" s="127">
        <f t="shared" si="3"/>
        <v>2.8</v>
      </c>
      <c r="R79" s="127">
        <f t="shared" si="4"/>
        <v>0.1</v>
      </c>
      <c r="V79" s="17">
        <f t="shared" si="5"/>
        <v>0</v>
      </c>
      <c r="W79" s="18">
        <f t="shared" si="6"/>
        <v>0.9642857143</v>
      </c>
      <c r="X79" s="18">
        <f t="shared" si="7"/>
        <v>13.5</v>
      </c>
      <c r="Y79" s="128">
        <f>IFERROR(__xludf.DUMMYFUNCTION("IF(ISNUMBER(W79),
   IFERROR( W79 / AVERAGE( FILTER($W$2:$W1031, $A$2:$A1031=$A79, ISNUMBER($W$2:$W1031)) ), 1 ),
"""")"),1.3170731707317072)</f>
        <v>1.317073171</v>
      </c>
      <c r="Z79" s="129">
        <f>IFERROR(__xludf.DUMMYFUNCTION("IF(ISNUMBER(X79),
   IFERROR( X79 / AVERAGE( FILTER($X$2:$X1031, $A$2:$A1031=$A79, ISNUMBER($X$2:$X1031)) ), 1 ),
"""")"),1.8120805369127515)</f>
        <v>1.812080537</v>
      </c>
      <c r="AA79" s="128">
        <f t="shared" si="8"/>
        <v>3.129153708</v>
      </c>
    </row>
    <row r="80">
      <c r="A80" s="130" t="s">
        <v>182</v>
      </c>
      <c r="B80" s="131" t="s">
        <v>48</v>
      </c>
      <c r="C80" s="132">
        <v>0.7</v>
      </c>
      <c r="D80" s="131" t="s">
        <v>166</v>
      </c>
      <c r="E80" s="132">
        <v>2.0</v>
      </c>
      <c r="F80" s="131" t="s">
        <v>167</v>
      </c>
      <c r="G80" s="133">
        <v>2.0</v>
      </c>
      <c r="H80" s="130" t="s">
        <v>169</v>
      </c>
      <c r="I80" s="132">
        <v>0.0</v>
      </c>
      <c r="J80" s="132">
        <v>1.0</v>
      </c>
      <c r="K80" s="134">
        <v>0.0</v>
      </c>
      <c r="L80" s="132">
        <v>0.0</v>
      </c>
      <c r="M80" s="132">
        <v>1.0</v>
      </c>
      <c r="N80" s="132">
        <v>0.0</v>
      </c>
      <c r="O80" s="132" t="b">
        <f t="shared" si="9"/>
        <v>1</v>
      </c>
      <c r="P80" s="133">
        <f t="shared" si="2"/>
        <v>1</v>
      </c>
      <c r="Q80" s="135">
        <f t="shared" si="3"/>
        <v>2.8</v>
      </c>
      <c r="R80" s="135">
        <f t="shared" si="4"/>
        <v>1.4</v>
      </c>
      <c r="V80" s="17">
        <f t="shared" si="5"/>
        <v>0</v>
      </c>
      <c r="W80" s="18">
        <f t="shared" si="6"/>
        <v>0.5</v>
      </c>
      <c r="X80" s="18">
        <f t="shared" si="7"/>
        <v>1.4</v>
      </c>
      <c r="Y80" s="136">
        <f>IFERROR(__xludf.DUMMYFUNCTION("IF(ISNUMBER(W80),
   IFERROR( W80 / AVERAGE( FILTER($W$2:$W1031, $A$2:$A1031=$A80, ISNUMBER($W$2:$W1031)) ), 1 ),
"""")"),0.6829268292682926)</f>
        <v>0.6829268293</v>
      </c>
      <c r="Z80" s="137">
        <f>IFERROR(__xludf.DUMMYFUNCTION("IF(ISNUMBER(X80),
   IFERROR( X80 / AVERAGE( FILTER($X$2:$X1031, $A$2:$A1031=$A80, ISNUMBER($X$2:$X1031)) ), 1 ),
"""")"),0.18791946308724833)</f>
        <v>0.1879194631</v>
      </c>
      <c r="AA80" s="136">
        <f t="shared" si="8"/>
        <v>0.8708462924</v>
      </c>
    </row>
    <row r="81">
      <c r="A81" s="122" t="s">
        <v>183</v>
      </c>
      <c r="B81" s="123" t="s">
        <v>48</v>
      </c>
      <c r="C81" s="124">
        <v>1.0</v>
      </c>
      <c r="D81" s="123" t="s">
        <v>179</v>
      </c>
      <c r="E81" s="124">
        <v>2.0</v>
      </c>
      <c r="F81" s="123" t="s">
        <v>180</v>
      </c>
      <c r="G81" s="125">
        <v>1.0</v>
      </c>
      <c r="H81" s="122" t="s">
        <v>181</v>
      </c>
      <c r="I81" s="124">
        <v>0.0</v>
      </c>
      <c r="J81" s="124">
        <v>1.5</v>
      </c>
      <c r="K81" s="126">
        <v>0.0</v>
      </c>
      <c r="L81" s="124">
        <v>0.0</v>
      </c>
      <c r="M81" s="124">
        <v>2.0</v>
      </c>
      <c r="N81" s="124">
        <v>1.0</v>
      </c>
      <c r="O81" s="124" t="b">
        <f t="shared" si="9"/>
        <v>0</v>
      </c>
      <c r="P81" s="125">
        <f t="shared" si="2"/>
        <v>3</v>
      </c>
      <c r="Q81" s="127">
        <f t="shared" si="3"/>
        <v>2</v>
      </c>
      <c r="R81" s="127">
        <f t="shared" si="4"/>
        <v>0.5</v>
      </c>
      <c r="V81" s="17">
        <f t="shared" si="5"/>
        <v>0</v>
      </c>
      <c r="W81" s="18">
        <f t="shared" si="6"/>
        <v>0.75</v>
      </c>
      <c r="X81" s="18">
        <f t="shared" si="7"/>
        <v>0.5</v>
      </c>
      <c r="Y81" s="128">
        <f>IFERROR(__xludf.DUMMYFUNCTION("IF(ISNUMBER(W81),
   IFERROR( W81 / AVERAGE( FILTER($W$2:$W1031, $A$2:$A1031=$A81, ISNUMBER($W$2:$W1031)) ), 1 ),
"""")"),1.0)</f>
        <v>1</v>
      </c>
      <c r="Z81" s="129">
        <f>IFERROR(__xludf.DUMMYFUNCTION("IF(ISNUMBER(X81),
   IFERROR( X81 / AVERAGE( FILTER($X$2:$X1031, $A$2:$A1031=$A81, ISNUMBER($X$2:$X1031)) ), 1 ),
"""")"),1.0)</f>
        <v>1</v>
      </c>
      <c r="AA81" s="128">
        <f t="shared" si="8"/>
        <v>2</v>
      </c>
    </row>
    <row r="82">
      <c r="A82" s="130" t="s">
        <v>184</v>
      </c>
      <c r="B82" s="131" t="s">
        <v>185</v>
      </c>
      <c r="C82" s="132">
        <v>1.7</v>
      </c>
      <c r="D82" s="131" t="s">
        <v>186</v>
      </c>
      <c r="E82" s="132">
        <v>3.0</v>
      </c>
      <c r="F82" s="131" t="s">
        <v>187</v>
      </c>
      <c r="G82" s="133">
        <v>3.0</v>
      </c>
      <c r="H82" s="130" t="s">
        <v>188</v>
      </c>
      <c r="I82" s="132">
        <v>0.0</v>
      </c>
      <c r="J82" s="132">
        <v>2.0</v>
      </c>
      <c r="K82" s="134">
        <v>0.0</v>
      </c>
      <c r="L82" s="132">
        <v>0.0</v>
      </c>
      <c r="M82" s="132">
        <v>0.5</v>
      </c>
      <c r="N82" s="132">
        <v>1.0</v>
      </c>
      <c r="O82" s="132" t="b">
        <f t="shared" si="9"/>
        <v>0</v>
      </c>
      <c r="P82" s="133">
        <f t="shared" si="2"/>
        <v>1.5</v>
      </c>
      <c r="Q82" s="135">
        <f t="shared" si="3"/>
        <v>15.3</v>
      </c>
      <c r="R82" s="135">
        <f t="shared" si="4"/>
        <v>5.1</v>
      </c>
      <c r="V82" s="17">
        <f t="shared" si="5"/>
        <v>0</v>
      </c>
      <c r="W82" s="18">
        <f t="shared" si="6"/>
        <v>0.6666666667</v>
      </c>
      <c r="X82" s="18">
        <f t="shared" si="7"/>
        <v>6.8</v>
      </c>
      <c r="Y82" s="136">
        <f>IFERROR(__xludf.DUMMYFUNCTION("IF(ISNUMBER(W82),
   IFERROR( W82 / AVERAGE( FILTER($W$2:$W1031, $A$2:$A1031=$A82, ISNUMBER($W$2:$W1031)) ), 1 ),
"""")"),1.142857142857143)</f>
        <v>1.142857143</v>
      </c>
      <c r="Z82" s="137">
        <f>IFERROR(__xludf.DUMMYFUNCTION("IF(ISNUMBER(X82),
   IFERROR( X82 / AVERAGE( FILTER($X$2:$X1031, $A$2:$A1031=$A82, ISNUMBER($X$2:$X1031)) ), 1 ),
"""")"),0.6153846153846154)</f>
        <v>0.6153846154</v>
      </c>
      <c r="AA82" s="136">
        <f t="shared" si="8"/>
        <v>1.758241758</v>
      </c>
    </row>
    <row r="83">
      <c r="A83" s="122" t="s">
        <v>184</v>
      </c>
      <c r="B83" s="123" t="s">
        <v>185</v>
      </c>
      <c r="C83" s="124">
        <v>1.7</v>
      </c>
      <c r="D83" s="123" t="s">
        <v>186</v>
      </c>
      <c r="E83" s="124">
        <v>3.0</v>
      </c>
      <c r="F83" s="123" t="s">
        <v>187</v>
      </c>
      <c r="G83" s="125">
        <v>3.0</v>
      </c>
      <c r="H83" s="122" t="s">
        <v>189</v>
      </c>
      <c r="I83" s="124">
        <v>0.0</v>
      </c>
      <c r="J83" s="124">
        <v>1.5</v>
      </c>
      <c r="K83" s="126">
        <v>0.0</v>
      </c>
      <c r="L83" s="124">
        <v>0.0</v>
      </c>
      <c r="M83" s="124">
        <v>0.0</v>
      </c>
      <c r="N83" s="124">
        <v>0.5</v>
      </c>
      <c r="O83" s="124" t="b">
        <f t="shared" si="9"/>
        <v>0</v>
      </c>
      <c r="P83" s="125">
        <f t="shared" si="2"/>
        <v>0.5</v>
      </c>
      <c r="Q83" s="127">
        <f t="shared" si="3"/>
        <v>15.3</v>
      </c>
      <c r="R83" s="127">
        <f t="shared" si="4"/>
        <v>7.65</v>
      </c>
      <c r="V83" s="17">
        <f t="shared" si="5"/>
        <v>0</v>
      </c>
      <c r="W83" s="18">
        <f t="shared" si="6"/>
        <v>0.5</v>
      </c>
      <c r="X83" s="18">
        <f t="shared" si="7"/>
        <v>15.3</v>
      </c>
      <c r="Y83" s="128">
        <f>IFERROR(__xludf.DUMMYFUNCTION("IF(ISNUMBER(W83),
   IFERROR( W83 / AVERAGE( FILTER($W$2:$W1031, $A$2:$A1031=$A83, ISNUMBER($W$2:$W1031)) ), 1 ),
"""")"),0.8571428571428572)</f>
        <v>0.8571428571</v>
      </c>
      <c r="Z83" s="129">
        <f>IFERROR(__xludf.DUMMYFUNCTION("IF(ISNUMBER(X83),
   IFERROR( X83 / AVERAGE( FILTER($X$2:$X1031, $A$2:$A1031=$A83, ISNUMBER($X$2:$X1031)) ), 1 ),
"""")"),1.3846153846153846)</f>
        <v>1.384615385</v>
      </c>
      <c r="AA83" s="128">
        <f t="shared" si="8"/>
        <v>2.241758242</v>
      </c>
    </row>
    <row r="84">
      <c r="A84" s="122" t="s">
        <v>190</v>
      </c>
      <c r="B84" s="123" t="s">
        <v>191</v>
      </c>
      <c r="C84" s="124">
        <v>0.3</v>
      </c>
      <c r="D84" s="123" t="s">
        <v>192</v>
      </c>
      <c r="E84" s="124">
        <v>1.0</v>
      </c>
      <c r="F84" s="123" t="s">
        <v>190</v>
      </c>
      <c r="G84" s="125">
        <v>2.0</v>
      </c>
      <c r="H84" s="122" t="s">
        <v>193</v>
      </c>
      <c r="I84" s="124">
        <v>0.0</v>
      </c>
      <c r="J84" s="124">
        <v>0.5</v>
      </c>
      <c r="K84" s="126">
        <v>0.0</v>
      </c>
      <c r="L84" s="124">
        <v>0.0</v>
      </c>
      <c r="M84" s="124">
        <v>0.0</v>
      </c>
      <c r="N84" s="124">
        <v>0.5</v>
      </c>
      <c r="O84" s="124" t="b">
        <f t="shared" si="9"/>
        <v>0</v>
      </c>
      <c r="P84" s="125">
        <f t="shared" si="2"/>
        <v>0.5</v>
      </c>
      <c r="Q84" s="127">
        <f t="shared" si="3"/>
        <v>0.6</v>
      </c>
      <c r="R84" s="127">
        <f t="shared" si="4"/>
        <v>0.3</v>
      </c>
      <c r="V84" s="17">
        <f t="shared" si="5"/>
        <v>0</v>
      </c>
      <c r="W84" s="18">
        <f t="shared" si="6"/>
        <v>0.5</v>
      </c>
      <c r="X84" s="18">
        <f t="shared" si="7"/>
        <v>0.6</v>
      </c>
      <c r="Y84" s="128">
        <f>IFERROR(__xludf.DUMMYFUNCTION("IF(ISNUMBER(W84),
   IFERROR( W84 / AVERAGE( FILTER($W$2:$W1031, $A$2:$A1031=$A84, ISNUMBER($W$2:$W1031)) ), 1 ),
"""")"),0.7692307692307692)</f>
        <v>0.7692307692</v>
      </c>
      <c r="Z84" s="129">
        <f>IFERROR(__xludf.DUMMYFUNCTION("IF(ISNUMBER(X84),
   IFERROR( X84 / AVERAGE( FILTER($X$2:$X1031, $A$2:$A1031=$A84, ISNUMBER($X$2:$X1031)) ), 1 ),
"""")"),1.4285714285714286)</f>
        <v>1.428571429</v>
      </c>
      <c r="AA84" s="128">
        <f t="shared" si="8"/>
        <v>2.197802198</v>
      </c>
    </row>
    <row r="85">
      <c r="A85" s="130" t="s">
        <v>190</v>
      </c>
      <c r="B85" s="131" t="s">
        <v>191</v>
      </c>
      <c r="C85" s="132">
        <v>0.3</v>
      </c>
      <c r="D85" s="131" t="s">
        <v>192</v>
      </c>
      <c r="E85" s="132">
        <v>1.0</v>
      </c>
      <c r="F85" s="131" t="s">
        <v>190</v>
      </c>
      <c r="G85" s="133">
        <v>2.0</v>
      </c>
      <c r="H85" s="130" t="s">
        <v>194</v>
      </c>
      <c r="I85" s="132">
        <v>0.0</v>
      </c>
      <c r="J85" s="132">
        <v>0.8</v>
      </c>
      <c r="K85" s="134">
        <v>0.0</v>
      </c>
      <c r="L85" s="132">
        <v>0.0</v>
      </c>
      <c r="M85" s="132">
        <v>1.0</v>
      </c>
      <c r="N85" s="132">
        <v>1.0</v>
      </c>
      <c r="O85" s="132" t="b">
        <f t="shared" si="9"/>
        <v>0</v>
      </c>
      <c r="P85" s="133">
        <f t="shared" si="2"/>
        <v>2</v>
      </c>
      <c r="Q85" s="135">
        <f t="shared" si="3"/>
        <v>0.6</v>
      </c>
      <c r="R85" s="135">
        <f t="shared" si="4"/>
        <v>0.12</v>
      </c>
      <c r="V85" s="17">
        <f t="shared" si="5"/>
        <v>0</v>
      </c>
      <c r="W85" s="18">
        <f t="shared" si="6"/>
        <v>0.8</v>
      </c>
      <c r="X85" s="18">
        <f t="shared" si="7"/>
        <v>0.24</v>
      </c>
      <c r="Y85" s="136">
        <f>IFERROR(__xludf.DUMMYFUNCTION("IF(ISNUMBER(W85),
   IFERROR( W85 / AVERAGE( FILTER($W$2:$W1031, $A$2:$A1031=$A85, ISNUMBER($W$2:$W1031)) ), 1 ),
"""")"),1.2307692307692308)</f>
        <v>1.230769231</v>
      </c>
      <c r="Z85" s="137">
        <f>IFERROR(__xludf.DUMMYFUNCTION("IF(ISNUMBER(X85),
   IFERROR( X85 / AVERAGE( FILTER($X$2:$X1031, $A$2:$A1031=$A85, ISNUMBER($X$2:$X1031)) ), 1 ),
"""")"),0.5714285714285714)</f>
        <v>0.5714285714</v>
      </c>
      <c r="AA85" s="136">
        <f t="shared" si="8"/>
        <v>1.802197802</v>
      </c>
    </row>
    <row r="86">
      <c r="A86" s="122" t="s">
        <v>195</v>
      </c>
      <c r="B86" s="123" t="s">
        <v>191</v>
      </c>
      <c r="C86" s="124">
        <v>0.7</v>
      </c>
      <c r="D86" s="123" t="s">
        <v>179</v>
      </c>
      <c r="E86" s="124">
        <v>2.0</v>
      </c>
      <c r="F86" s="123" t="s">
        <v>180</v>
      </c>
      <c r="G86" s="125">
        <v>1.0</v>
      </c>
      <c r="H86" s="122" t="s">
        <v>181</v>
      </c>
      <c r="I86" s="124">
        <v>0.0</v>
      </c>
      <c r="J86" s="124">
        <v>1.5</v>
      </c>
      <c r="K86" s="126">
        <v>0.0</v>
      </c>
      <c r="L86" s="124">
        <v>0.0</v>
      </c>
      <c r="M86" s="124">
        <v>2.0</v>
      </c>
      <c r="N86" s="124">
        <v>1.0</v>
      </c>
      <c r="O86" s="124" t="b">
        <f t="shared" si="9"/>
        <v>0</v>
      </c>
      <c r="P86" s="125">
        <f t="shared" si="2"/>
        <v>3</v>
      </c>
      <c r="Q86" s="127">
        <f t="shared" si="3"/>
        <v>1.4</v>
      </c>
      <c r="R86" s="127">
        <f t="shared" si="4"/>
        <v>0.35</v>
      </c>
      <c r="V86" s="17">
        <f t="shared" si="5"/>
        <v>0</v>
      </c>
      <c r="W86" s="18">
        <f t="shared" si="6"/>
        <v>0.75</v>
      </c>
      <c r="X86" s="18">
        <f t="shared" si="7"/>
        <v>0.35</v>
      </c>
      <c r="Y86" s="128">
        <f>IFERROR(__xludf.DUMMYFUNCTION("IF(ISNUMBER(W86),
   IFERROR( W86 / AVERAGE( FILTER($W$2:$W1031, $A$2:$A1031=$A86, ISNUMBER($W$2:$W1031)) ), 1 ),
"""")"),1.0)</f>
        <v>1</v>
      </c>
      <c r="Z86" s="129">
        <f>IFERROR(__xludf.DUMMYFUNCTION("IF(ISNUMBER(X86),
   IFERROR( X86 / AVERAGE( FILTER($X$2:$X1031, $A$2:$A1031=$A86, ISNUMBER($X$2:$X1031)) ), 1 ),
"""")"),1.0)</f>
        <v>1</v>
      </c>
      <c r="AA86" s="128">
        <f t="shared" si="8"/>
        <v>2</v>
      </c>
    </row>
    <row r="87">
      <c r="C87" s="10"/>
      <c r="E87" s="10"/>
      <c r="G87" s="82"/>
      <c r="I87" s="10"/>
      <c r="J87" s="10"/>
      <c r="K87" s="10"/>
      <c r="L87" s="10"/>
      <c r="M87" s="10"/>
      <c r="N87" s="10"/>
      <c r="O87" s="10"/>
      <c r="P87" s="10"/>
      <c r="Q87" s="10"/>
      <c r="R87" s="10"/>
      <c r="V87" s="17">
        <f t="shared" si="5"/>
        <v>0</v>
      </c>
      <c r="W87" s="18" t="str">
        <f t="shared" si="6"/>
        <v>#DIV/0!</v>
      </c>
      <c r="X87" s="18" t="str">
        <f t="shared" si="7"/>
        <v>#DIV/0!</v>
      </c>
      <c r="Y87" s="49" t="str">
        <f>IFERROR(__xludf.DUMMYFUNCTION("IF(ISNUMBER(W87),
   IFERROR( W87 / AVERAGE( FILTER($W$2:$W1031, $A$2:$A1031=$A87, ISNUMBER($W$2:$W1031)) ), 1 ),
"""")"),"")</f>
        <v/>
      </c>
      <c r="Z87" s="51" t="str">
        <f>IFERROR(__xludf.DUMMYFUNCTION("IF(ISNUMBER(X87),
   IFERROR( X87 / AVERAGE( FILTER($X$2:$X1031, $A$2:$A1031=$A87, ISNUMBER($X$2:$X1031)) ), 1 ),
"""")"),"")</f>
        <v/>
      </c>
      <c r="AA87" s="51" t="str">
        <f t="shared" si="8"/>
        <v/>
      </c>
    </row>
    <row r="88">
      <c r="C88" s="10"/>
      <c r="E88" s="10"/>
      <c r="G88" s="82"/>
      <c r="I88" s="10"/>
      <c r="J88" s="10"/>
      <c r="K88" s="10"/>
      <c r="L88" s="10"/>
      <c r="M88" s="10"/>
      <c r="N88" s="10"/>
      <c r="O88" s="10"/>
      <c r="P88" s="10"/>
      <c r="Q88" s="10"/>
      <c r="R88" s="10"/>
      <c r="V88" s="17">
        <f t="shared" si="5"/>
        <v>0</v>
      </c>
      <c r="W88" s="18" t="str">
        <f t="shared" si="6"/>
        <v>#DIV/0!</v>
      </c>
      <c r="X88" s="18" t="str">
        <f t="shared" si="7"/>
        <v>#DIV/0!</v>
      </c>
      <c r="Y88" s="49" t="str">
        <f>IFERROR(__xludf.DUMMYFUNCTION("IF(ISNUMBER(W88),
   IFERROR( W88 / AVERAGE( FILTER($W$2:$W1031, $A$2:$A1031=$A88, ISNUMBER($W$2:$W1031)) ), 1 ),
"""")"),"")</f>
        <v/>
      </c>
      <c r="Z88" s="51" t="str">
        <f>IFERROR(__xludf.DUMMYFUNCTION("IF(ISNUMBER(X88),
   IFERROR( X88 / AVERAGE( FILTER($X$2:$X1031, $A$2:$A1031=$A88, ISNUMBER($X$2:$X1031)) ), 1 ),
"""")"),"")</f>
        <v/>
      </c>
      <c r="AA88" s="51" t="str">
        <f t="shared" si="8"/>
        <v/>
      </c>
    </row>
    <row r="89">
      <c r="C89" s="10"/>
      <c r="E89" s="10"/>
      <c r="G89" s="82"/>
      <c r="I89" s="10"/>
      <c r="J89" s="10"/>
      <c r="K89" s="10"/>
      <c r="L89" s="10"/>
      <c r="M89" s="10"/>
      <c r="N89" s="10"/>
      <c r="O89" s="10"/>
      <c r="P89" s="10"/>
      <c r="Q89" s="10"/>
      <c r="R89" s="10"/>
      <c r="V89" s="17">
        <f t="shared" si="5"/>
        <v>0</v>
      </c>
      <c r="W89" s="18" t="str">
        <f t="shared" si="6"/>
        <v>#DIV/0!</v>
      </c>
      <c r="X89" s="18" t="str">
        <f t="shared" si="7"/>
        <v>#DIV/0!</v>
      </c>
      <c r="Y89" s="49" t="str">
        <f>IFERROR(__xludf.DUMMYFUNCTION("IF(ISNUMBER(W89),
   IFERROR( W89 / AVERAGE( FILTER($W$2:$W1031, $A$2:$A1031=$A89, ISNUMBER($W$2:$W1031)) ), 1 ),
"""")"),"")</f>
        <v/>
      </c>
      <c r="Z89" s="51" t="str">
        <f>IFERROR(__xludf.DUMMYFUNCTION("IF(ISNUMBER(X89),
   IFERROR( X89 / AVERAGE( FILTER($X$2:$X1031, $A$2:$A1031=$A89, ISNUMBER($X$2:$X1031)) ), 1 ),
"""")"),"")</f>
        <v/>
      </c>
      <c r="AA89" s="51" t="str">
        <f t="shared" si="8"/>
        <v/>
      </c>
    </row>
    <row r="90">
      <c r="C90" s="10"/>
      <c r="E90" s="10"/>
      <c r="G90" s="82"/>
      <c r="I90" s="10"/>
      <c r="J90" s="10"/>
      <c r="K90" s="10"/>
      <c r="L90" s="10"/>
      <c r="M90" s="10"/>
      <c r="N90" s="10"/>
      <c r="O90" s="10"/>
      <c r="P90" s="10"/>
      <c r="Q90" s="10"/>
      <c r="R90" s="10"/>
      <c r="V90" s="17">
        <f t="shared" si="5"/>
        <v>0</v>
      </c>
      <c r="W90" s="18" t="str">
        <f t="shared" si="6"/>
        <v>#DIV/0!</v>
      </c>
      <c r="X90" s="18" t="str">
        <f t="shared" si="7"/>
        <v>#DIV/0!</v>
      </c>
      <c r="Y90" s="49" t="str">
        <f>IFERROR(__xludf.DUMMYFUNCTION("IF(ISNUMBER(W90),
   IFERROR( W90 / AVERAGE( FILTER($W$2:$W1031, $A$2:$A1031=$A90, ISNUMBER($W$2:$W1031)) ), 1 ),
"""")"),"")</f>
        <v/>
      </c>
      <c r="Z90" s="51" t="str">
        <f>IFERROR(__xludf.DUMMYFUNCTION("IF(ISNUMBER(X90),
   IFERROR( X90 / AVERAGE( FILTER($X$2:$X1031, $A$2:$A1031=$A90, ISNUMBER($X$2:$X1031)) ), 1 ),
"""")"),"")</f>
        <v/>
      </c>
      <c r="AA90" s="51" t="str">
        <f t="shared" si="8"/>
        <v/>
      </c>
    </row>
    <row r="91">
      <c r="C91" s="10"/>
      <c r="E91" s="10"/>
      <c r="G91" s="82"/>
      <c r="I91" s="10"/>
      <c r="J91" s="10"/>
      <c r="K91" s="10"/>
      <c r="L91" s="10"/>
      <c r="M91" s="10"/>
      <c r="N91" s="10"/>
      <c r="O91" s="10"/>
      <c r="P91" s="10"/>
      <c r="Q91" s="10"/>
      <c r="R91" s="10"/>
      <c r="V91" s="17">
        <f t="shared" si="5"/>
        <v>0</v>
      </c>
      <c r="W91" s="18" t="str">
        <f t="shared" si="6"/>
        <v>#DIV/0!</v>
      </c>
      <c r="X91" s="18" t="str">
        <f t="shared" si="7"/>
        <v>#DIV/0!</v>
      </c>
      <c r="Y91" s="49" t="str">
        <f>IFERROR(__xludf.DUMMYFUNCTION("IF(ISNUMBER(W91),
   IFERROR( W91 / AVERAGE( FILTER($W$2:$W1031, $A$2:$A1031=$A91, ISNUMBER($W$2:$W1031)) ), 1 ),
"""")"),"")</f>
        <v/>
      </c>
      <c r="Z91" s="51" t="str">
        <f>IFERROR(__xludf.DUMMYFUNCTION("IF(ISNUMBER(X91),
   IFERROR( X91 / AVERAGE( FILTER($X$2:$X1031, $A$2:$A1031=$A91, ISNUMBER($X$2:$X1031)) ), 1 ),
"""")"),"")</f>
        <v/>
      </c>
      <c r="AA91" s="51" t="str">
        <f t="shared" si="8"/>
        <v/>
      </c>
    </row>
    <row r="92">
      <c r="C92" s="10"/>
      <c r="E92" s="10"/>
      <c r="G92" s="82"/>
      <c r="I92" s="10"/>
      <c r="J92" s="10"/>
      <c r="K92" s="10"/>
      <c r="L92" s="10"/>
      <c r="M92" s="10"/>
      <c r="N92" s="10"/>
      <c r="O92" s="10"/>
      <c r="P92" s="10"/>
      <c r="Q92" s="10"/>
      <c r="R92" s="10"/>
      <c r="V92" s="17">
        <f t="shared" si="5"/>
        <v>0</v>
      </c>
      <c r="W92" s="18" t="str">
        <f t="shared" si="6"/>
        <v>#DIV/0!</v>
      </c>
      <c r="X92" s="18" t="str">
        <f t="shared" si="7"/>
        <v>#DIV/0!</v>
      </c>
      <c r="Y92" s="49" t="str">
        <f>IFERROR(__xludf.DUMMYFUNCTION("IF(ISNUMBER(W92),
   IFERROR( W92 / AVERAGE( FILTER($W$2:$W1031, $A$2:$A1031=$A92, ISNUMBER($W$2:$W1031)) ), 1 ),
"""")"),"")</f>
        <v/>
      </c>
      <c r="Z92" s="51" t="str">
        <f>IFERROR(__xludf.DUMMYFUNCTION("IF(ISNUMBER(X92),
   IFERROR( X92 / AVERAGE( FILTER($X$2:$X1031, $A$2:$A1031=$A92, ISNUMBER($X$2:$X1031)) ), 1 ),
"""")"),"")</f>
        <v/>
      </c>
      <c r="AA92" s="51" t="str">
        <f t="shared" si="8"/>
        <v/>
      </c>
    </row>
    <row r="93">
      <c r="C93" s="10"/>
      <c r="E93" s="10"/>
      <c r="G93" s="82"/>
      <c r="I93" s="10"/>
      <c r="J93" s="10"/>
      <c r="K93" s="10"/>
      <c r="L93" s="10"/>
      <c r="M93" s="10"/>
      <c r="N93" s="10"/>
      <c r="O93" s="10"/>
      <c r="P93" s="10"/>
      <c r="Q93" s="10"/>
      <c r="R93" s="10"/>
      <c r="V93" s="17">
        <f t="shared" si="5"/>
        <v>0</v>
      </c>
      <c r="W93" s="18" t="str">
        <f t="shared" si="6"/>
        <v>#DIV/0!</v>
      </c>
      <c r="X93" s="18" t="str">
        <f t="shared" si="7"/>
        <v>#DIV/0!</v>
      </c>
      <c r="Y93" s="49" t="str">
        <f>IFERROR(__xludf.DUMMYFUNCTION("IF(ISNUMBER(W93),
   IFERROR( W93 / AVERAGE( FILTER($W$2:$W1031, $A$2:$A1031=$A93, ISNUMBER($W$2:$W1031)) ), 1 ),
"""")"),"")</f>
        <v/>
      </c>
      <c r="Z93" s="51" t="str">
        <f>IFERROR(__xludf.DUMMYFUNCTION("IF(ISNUMBER(X93),
   IFERROR( X93 / AVERAGE( FILTER($X$2:$X1031, $A$2:$A1031=$A93, ISNUMBER($X$2:$X1031)) ), 1 ),
"""")"),"")</f>
        <v/>
      </c>
      <c r="AA93" s="51" t="str">
        <f t="shared" si="8"/>
        <v/>
      </c>
    </row>
    <row r="94">
      <c r="C94" s="10"/>
      <c r="E94" s="10"/>
      <c r="G94" s="82"/>
      <c r="I94" s="10"/>
      <c r="J94" s="10"/>
      <c r="K94" s="10"/>
      <c r="L94" s="10"/>
      <c r="M94" s="10"/>
      <c r="N94" s="10"/>
      <c r="O94" s="10"/>
      <c r="P94" s="10"/>
      <c r="Q94" s="10"/>
      <c r="R94" s="10"/>
      <c r="V94" s="17">
        <f t="shared" si="5"/>
        <v>0</v>
      </c>
      <c r="W94" s="18" t="str">
        <f t="shared" si="6"/>
        <v>#DIV/0!</v>
      </c>
      <c r="X94" s="18" t="str">
        <f t="shared" si="7"/>
        <v>#DIV/0!</v>
      </c>
      <c r="Y94" s="49" t="str">
        <f>IFERROR(__xludf.DUMMYFUNCTION("IF(ISNUMBER(W94),
   IFERROR( W94 / AVERAGE( FILTER($W$2:$W1031, $A$2:$A1031=$A94, ISNUMBER($W$2:$W1031)) ), 1 ),
"""")"),"")</f>
        <v/>
      </c>
      <c r="Z94" s="51" t="str">
        <f>IFERROR(__xludf.DUMMYFUNCTION("IF(ISNUMBER(X94),
   IFERROR( X94 / AVERAGE( FILTER($X$2:$X1031, $A$2:$A1031=$A94, ISNUMBER($X$2:$X1031)) ), 1 ),
"""")"),"")</f>
        <v/>
      </c>
      <c r="AA94" s="51" t="str">
        <f t="shared" si="8"/>
        <v/>
      </c>
    </row>
    <row r="95">
      <c r="C95" s="10"/>
      <c r="E95" s="10"/>
      <c r="G95" s="82"/>
      <c r="I95" s="10"/>
      <c r="J95" s="10"/>
      <c r="K95" s="10"/>
      <c r="L95" s="10"/>
      <c r="M95" s="10"/>
      <c r="N95" s="10"/>
      <c r="O95" s="10"/>
      <c r="P95" s="10"/>
      <c r="Q95" s="10"/>
      <c r="R95" s="10"/>
      <c r="V95" s="17">
        <f t="shared" si="5"/>
        <v>0</v>
      </c>
      <c r="W95" s="18" t="str">
        <f t="shared" si="6"/>
        <v>#DIV/0!</v>
      </c>
      <c r="X95" s="18" t="str">
        <f t="shared" si="7"/>
        <v>#DIV/0!</v>
      </c>
      <c r="Y95" s="49" t="str">
        <f>IFERROR(__xludf.DUMMYFUNCTION("IF(ISNUMBER(W95),
   IFERROR( W95 / AVERAGE( FILTER($W$2:$W1031, $A$2:$A1031=$A95, ISNUMBER($W$2:$W1031)) ), 1 ),
"""")"),"")</f>
        <v/>
      </c>
      <c r="Z95" s="51" t="str">
        <f>IFERROR(__xludf.DUMMYFUNCTION("IF(ISNUMBER(X95),
   IFERROR( X95 / AVERAGE( FILTER($X$2:$X1031, $A$2:$A1031=$A95, ISNUMBER($X$2:$X1031)) ), 1 ),
"""")"),"")</f>
        <v/>
      </c>
      <c r="AA95" s="51" t="str">
        <f t="shared" si="8"/>
        <v/>
      </c>
    </row>
    <row r="96">
      <c r="C96" s="10"/>
      <c r="E96" s="10"/>
      <c r="G96" s="82"/>
      <c r="I96" s="10"/>
      <c r="J96" s="10"/>
      <c r="K96" s="10"/>
      <c r="L96" s="10"/>
      <c r="M96" s="10"/>
      <c r="N96" s="10"/>
      <c r="O96" s="10"/>
      <c r="P96" s="10"/>
      <c r="Q96" s="10"/>
      <c r="R96" s="10"/>
      <c r="V96" s="17">
        <f t="shared" si="5"/>
        <v>0</v>
      </c>
      <c r="W96" s="18" t="str">
        <f t="shared" si="6"/>
        <v>#DIV/0!</v>
      </c>
      <c r="X96" s="18" t="str">
        <f t="shared" si="7"/>
        <v>#DIV/0!</v>
      </c>
      <c r="Y96" s="49" t="str">
        <f>IFERROR(__xludf.DUMMYFUNCTION("IF(ISNUMBER(W96),
   IFERROR( W96 / AVERAGE( FILTER($W$2:$W1031, $A$2:$A1031=$A96, ISNUMBER($W$2:$W1031)) ), 1 ),
"""")"),"")</f>
        <v/>
      </c>
      <c r="Z96" s="51" t="str">
        <f>IFERROR(__xludf.DUMMYFUNCTION("IF(ISNUMBER(X96),
   IFERROR( X96 / AVERAGE( FILTER($X$2:$X1031, $A$2:$A1031=$A96, ISNUMBER($X$2:$X1031)) ), 1 ),
"""")"),"")</f>
        <v/>
      </c>
      <c r="AA96" s="51" t="str">
        <f t="shared" si="8"/>
        <v/>
      </c>
    </row>
    <row r="97">
      <c r="C97" s="10"/>
      <c r="E97" s="10"/>
      <c r="G97" s="82"/>
      <c r="I97" s="10"/>
      <c r="J97" s="10"/>
      <c r="K97" s="10"/>
      <c r="L97" s="10"/>
      <c r="M97" s="10"/>
      <c r="N97" s="10"/>
      <c r="O97" s="10"/>
      <c r="P97" s="10"/>
      <c r="Q97" s="10"/>
      <c r="R97" s="10"/>
      <c r="V97" s="17">
        <f t="shared" si="5"/>
        <v>0</v>
      </c>
      <c r="W97" s="18" t="str">
        <f t="shared" si="6"/>
        <v>#DIV/0!</v>
      </c>
      <c r="X97" s="18" t="str">
        <f t="shared" si="7"/>
        <v>#DIV/0!</v>
      </c>
      <c r="Y97" s="49" t="str">
        <f>IFERROR(__xludf.DUMMYFUNCTION("IF(ISNUMBER(W97),
   IFERROR( W97 / AVERAGE( FILTER($W$2:$W1031, $A$2:$A1031=$A97, ISNUMBER($W$2:$W1031)) ), 1 ),
"""")"),"")</f>
        <v/>
      </c>
      <c r="Z97" s="51" t="str">
        <f>IFERROR(__xludf.DUMMYFUNCTION("IF(ISNUMBER(X97),
   IFERROR( X97 / AVERAGE( FILTER($X$2:$X1031, $A$2:$A1031=$A97, ISNUMBER($X$2:$X1031)) ), 1 ),
"""")"),"")</f>
        <v/>
      </c>
      <c r="AA97" s="51" t="str">
        <f t="shared" si="8"/>
        <v/>
      </c>
    </row>
    <row r="98">
      <c r="C98" s="10"/>
      <c r="E98" s="10"/>
      <c r="G98" s="82"/>
      <c r="I98" s="10"/>
      <c r="J98" s="10"/>
      <c r="K98" s="10"/>
      <c r="L98" s="10"/>
      <c r="M98" s="10"/>
      <c r="N98" s="10"/>
      <c r="O98" s="10"/>
      <c r="P98" s="10"/>
      <c r="Q98" s="10"/>
      <c r="R98" s="10"/>
      <c r="V98" s="17">
        <f t="shared" si="5"/>
        <v>0</v>
      </c>
      <c r="W98" s="18" t="str">
        <f t="shared" si="6"/>
        <v>#DIV/0!</v>
      </c>
      <c r="X98" s="18" t="str">
        <f t="shared" si="7"/>
        <v>#DIV/0!</v>
      </c>
      <c r="Y98" s="49" t="str">
        <f>IFERROR(__xludf.DUMMYFUNCTION("IF(ISNUMBER(W98),
   IFERROR( W98 / AVERAGE( FILTER($W$2:$W1031, $A$2:$A1031=$A98, ISNUMBER($W$2:$W1031)) ), 1 ),
"""")"),"")</f>
        <v/>
      </c>
      <c r="Z98" s="51" t="str">
        <f>IFERROR(__xludf.DUMMYFUNCTION("IF(ISNUMBER(X98),
   IFERROR( X98 / AVERAGE( FILTER($X$2:$X1031, $A$2:$A1031=$A98, ISNUMBER($X$2:$X1031)) ), 1 ),
"""")"),"")</f>
        <v/>
      </c>
      <c r="AA98" s="51" t="str">
        <f t="shared" si="8"/>
        <v/>
      </c>
    </row>
    <row r="99">
      <c r="C99" s="10"/>
      <c r="E99" s="10"/>
      <c r="G99" s="82"/>
      <c r="I99" s="10"/>
      <c r="J99" s="10"/>
      <c r="K99" s="10"/>
      <c r="L99" s="10"/>
      <c r="M99" s="10"/>
      <c r="N99" s="10"/>
      <c r="O99" s="10"/>
      <c r="P99" s="10"/>
      <c r="Q99" s="10"/>
      <c r="R99" s="10"/>
      <c r="V99" s="17">
        <f t="shared" si="5"/>
        <v>0</v>
      </c>
      <c r="W99" s="18" t="str">
        <f t="shared" si="6"/>
        <v>#DIV/0!</v>
      </c>
      <c r="X99" s="18" t="str">
        <f t="shared" si="7"/>
        <v>#DIV/0!</v>
      </c>
      <c r="Y99" s="49" t="str">
        <f>IFERROR(__xludf.DUMMYFUNCTION("IF(ISNUMBER(W99),
   IFERROR( W99 / AVERAGE( FILTER($W$2:$W1031, $A$2:$A1031=$A99, ISNUMBER($W$2:$W1031)) ), 1 ),
"""")"),"")</f>
        <v/>
      </c>
      <c r="Z99" s="51" t="str">
        <f>IFERROR(__xludf.DUMMYFUNCTION("IF(ISNUMBER(X99),
   IFERROR( X99 / AVERAGE( FILTER($X$2:$X1031, $A$2:$A1031=$A99, ISNUMBER($X$2:$X1031)) ), 1 ),
"""")"),"")</f>
        <v/>
      </c>
      <c r="AA99" s="51" t="str">
        <f t="shared" si="8"/>
        <v/>
      </c>
    </row>
    <row r="100">
      <c r="C100" s="10"/>
      <c r="E100" s="10"/>
      <c r="G100" s="8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V100" s="17">
        <f t="shared" si="5"/>
        <v>0</v>
      </c>
      <c r="W100" s="18" t="str">
        <f t="shared" si="6"/>
        <v>#DIV/0!</v>
      </c>
      <c r="X100" s="18" t="str">
        <f t="shared" si="7"/>
        <v>#DIV/0!</v>
      </c>
      <c r="Y100" s="49" t="str">
        <f>IFERROR(__xludf.DUMMYFUNCTION("IF(ISNUMBER(W100),
   IFERROR( W100 / AVERAGE( FILTER($W$2:$W1031, $A$2:$A1031=$A100, ISNUMBER($W$2:$W1031)) ), 1 ),
"""")"),"")</f>
        <v/>
      </c>
      <c r="AA100" s="51" t="str">
        <f t="shared" si="8"/>
        <v/>
      </c>
    </row>
    <row r="101">
      <c r="C101" s="10"/>
      <c r="E101" s="10"/>
      <c r="G101" s="8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V101" s="17">
        <f t="shared" si="5"/>
        <v>0</v>
      </c>
      <c r="W101" s="18" t="str">
        <f t="shared" si="6"/>
        <v>#DIV/0!</v>
      </c>
      <c r="X101" s="18" t="str">
        <f t="shared" si="7"/>
        <v>#DIV/0!</v>
      </c>
      <c r="Y101" s="51" t="str">
        <f>IFERROR(__xludf.DUMMYFUNCTION("IF(ISNUMBER(W101),
   IFERROR( W101 / AVERAGE( FILTER($W$2:$W1031, $A$2:$A1031=$A101, ISNUMBER($W$2:$W1031)) ), 1 ),
"""")"),"")</f>
        <v/>
      </c>
      <c r="AA101" s="51" t="str">
        <f t="shared" si="8"/>
        <v/>
      </c>
    </row>
    <row r="102">
      <c r="C102" s="10"/>
      <c r="E102" s="10"/>
      <c r="G102" s="8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V102" s="17">
        <f t="shared" si="5"/>
        <v>0</v>
      </c>
      <c r="W102" s="18" t="str">
        <f t="shared" si="6"/>
        <v>#DIV/0!</v>
      </c>
      <c r="X102" s="18" t="str">
        <f t="shared" si="7"/>
        <v>#DIV/0!</v>
      </c>
      <c r="Y102" s="51" t="str">
        <f>IFERROR(__xludf.DUMMYFUNCTION("IF(ISNUMBER(W102),
   IFERROR( W102 / AVERAGE( FILTER($W$2:$W1031, $A$2:$A1031=$A102, ISNUMBER($W$2:$W1031)) ), 1 ),
"""")"),"")</f>
        <v/>
      </c>
      <c r="AA102" s="51" t="str">
        <f t="shared" si="8"/>
        <v/>
      </c>
    </row>
    <row r="103">
      <c r="C103" s="10"/>
      <c r="E103" s="10"/>
      <c r="G103" s="8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V103" s="17">
        <f t="shared" si="5"/>
        <v>0</v>
      </c>
      <c r="W103" s="18" t="str">
        <f t="shared" si="6"/>
        <v>#DIV/0!</v>
      </c>
      <c r="Y103" s="51" t="str">
        <f>IFERROR(__xludf.DUMMYFUNCTION("IF(ISNUMBER(W103),
   IFERROR( W103 / AVERAGE( FILTER($W$2:$W1031, $A$2:$A1031=$A103, ISNUMBER($W$2:$W1031)) ), 1 ),
"""")"),"")</f>
        <v/>
      </c>
      <c r="AA103" s="51" t="str">
        <f t="shared" si="8"/>
        <v/>
      </c>
    </row>
    <row r="104">
      <c r="C104" s="10"/>
      <c r="E104" s="10"/>
      <c r="G104" s="8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V104" s="17">
        <f t="shared" si="5"/>
        <v>0</v>
      </c>
      <c r="W104" s="18" t="str">
        <f t="shared" si="6"/>
        <v>#DIV/0!</v>
      </c>
      <c r="Y104" s="51" t="str">
        <f>IFERROR(__xludf.DUMMYFUNCTION("IF(ISNUMBER(W104),
   IFERROR( W104 / AVERAGE( FILTER($W$2:$W1031, $A$2:$A1031=$A104, ISNUMBER($W$2:$W1031)) ), 1 ),
"""")"),"")</f>
        <v/>
      </c>
      <c r="AA104" s="51" t="str">
        <f t="shared" si="8"/>
        <v/>
      </c>
    </row>
    <row r="105">
      <c r="C105" s="10"/>
      <c r="E105" s="10"/>
      <c r="G105" s="8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V105" s="17">
        <f t="shared" si="5"/>
        <v>0</v>
      </c>
      <c r="W105" s="18" t="str">
        <f t="shared" si="6"/>
        <v>#DIV/0!</v>
      </c>
      <c r="Y105" s="51" t="str">
        <f>IFERROR(__xludf.DUMMYFUNCTION("IF(ISNUMBER(W105),
   IFERROR( W105 / AVERAGE( FILTER($W$2:$W1031, $A$2:$A1031=$A105, ISNUMBER($W$2:$W1031)) ), 1 ),
"""")"),"")</f>
        <v/>
      </c>
      <c r="AA105" s="51" t="str">
        <f t="shared" si="8"/>
        <v/>
      </c>
    </row>
    <row r="106">
      <c r="C106" s="10"/>
      <c r="E106" s="10"/>
      <c r="G106" s="8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V106" s="17">
        <f t="shared" si="5"/>
        <v>0</v>
      </c>
      <c r="W106" s="18" t="str">
        <f t="shared" si="6"/>
        <v>#DIV/0!</v>
      </c>
      <c r="Y106" s="51" t="str">
        <f>IFERROR(__xludf.DUMMYFUNCTION("IF(ISNUMBER(W106),
   IFERROR( W106 / AVERAGE( FILTER($W$2:$W1031, $A$2:$A1031=$A106, ISNUMBER($W$2:$W1031)) ), 1 ),
"""")"),"")</f>
        <v/>
      </c>
      <c r="AA106" s="51" t="str">
        <f t="shared" si="8"/>
        <v/>
      </c>
    </row>
    <row r="107">
      <c r="C107" s="10"/>
      <c r="E107" s="10"/>
      <c r="G107" s="8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V107" s="17">
        <f t="shared" si="5"/>
        <v>0</v>
      </c>
      <c r="W107" s="18" t="str">
        <f t="shared" si="6"/>
        <v>#DIV/0!</v>
      </c>
      <c r="Y107" s="51" t="str">
        <f>IFERROR(__xludf.DUMMYFUNCTION("IF(ISNUMBER(W107),
   IFERROR( W107 / AVERAGE( FILTER($W$2:$W1031, $A$2:$A1031=$A107, ISNUMBER($W$2:$W1031)) ), 1 ),
"""")"),"")</f>
        <v/>
      </c>
      <c r="AA107" s="51" t="str">
        <f t="shared" si="8"/>
        <v/>
      </c>
    </row>
    <row r="108">
      <c r="C108" s="10"/>
      <c r="E108" s="10"/>
      <c r="G108" s="8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V108" s="17">
        <f t="shared" si="5"/>
        <v>0</v>
      </c>
      <c r="W108" s="18" t="str">
        <f t="shared" si="6"/>
        <v>#DIV/0!</v>
      </c>
      <c r="Y108" s="51" t="str">
        <f>IFERROR(__xludf.DUMMYFUNCTION("IF(ISNUMBER(W108),
   IFERROR( W108 / AVERAGE( FILTER($W$2:$W1031, $A$2:$A1031=$A108, ISNUMBER($W$2:$W1031)) ), 1 ),
"""")"),"")</f>
        <v/>
      </c>
      <c r="AA108" s="51" t="str">
        <f t="shared" si="8"/>
        <v/>
      </c>
    </row>
    <row r="109">
      <c r="C109" s="10"/>
      <c r="E109" s="10"/>
      <c r="G109" s="8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V109" s="17">
        <f t="shared" si="5"/>
        <v>0</v>
      </c>
      <c r="W109" s="18" t="str">
        <f t="shared" si="6"/>
        <v>#DIV/0!</v>
      </c>
      <c r="Y109" s="51" t="str">
        <f>IFERROR(__xludf.DUMMYFUNCTION("IF(ISNUMBER(W109),
   IFERROR( W109 / AVERAGE( FILTER($W$2:$W1031, $A$2:$A1031=$A109, ISNUMBER($W$2:$W1031)) ), 1 ),
"""")"),"")</f>
        <v/>
      </c>
      <c r="AA109" s="51" t="str">
        <f t="shared" si="8"/>
        <v/>
      </c>
    </row>
    <row r="110">
      <c r="C110" s="10"/>
      <c r="E110" s="10"/>
      <c r="G110" s="8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V110" s="17">
        <f t="shared" si="5"/>
        <v>0</v>
      </c>
      <c r="W110" s="18" t="str">
        <f t="shared" si="6"/>
        <v>#DIV/0!</v>
      </c>
      <c r="Y110" s="51" t="str">
        <f>IFERROR(__xludf.DUMMYFUNCTION("IF(ISNUMBER(W110),
   IFERROR( W110 / AVERAGE( FILTER($W$2:$W1031, $A$2:$A1031=$A110, ISNUMBER($W$2:$W1031)) ), 1 ),
"""")"),"")</f>
        <v/>
      </c>
      <c r="AA110" s="51" t="str">
        <f t="shared" si="8"/>
        <v/>
      </c>
    </row>
    <row r="111">
      <c r="C111" s="10"/>
      <c r="E111" s="10"/>
      <c r="G111" s="8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V111" s="17">
        <f t="shared" si="5"/>
        <v>0</v>
      </c>
      <c r="W111" s="18" t="str">
        <f t="shared" si="6"/>
        <v>#DIV/0!</v>
      </c>
      <c r="Y111" s="51" t="str">
        <f>IFERROR(__xludf.DUMMYFUNCTION("IF(ISNUMBER(W111),
   IFERROR( W111 / AVERAGE( FILTER($W$2:$W1031, $A$2:$A1031=$A111, ISNUMBER($W$2:$W1031)) ), 1 ),
"""")"),"")</f>
        <v/>
      </c>
      <c r="AA111" s="51" t="str">
        <f t="shared" si="8"/>
        <v/>
      </c>
    </row>
    <row r="112">
      <c r="C112" s="10"/>
      <c r="E112" s="10"/>
      <c r="G112" s="8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V112" s="17">
        <f t="shared" si="5"/>
        <v>0</v>
      </c>
      <c r="W112" s="18" t="str">
        <f t="shared" si="6"/>
        <v>#DIV/0!</v>
      </c>
      <c r="Y112" s="51" t="str">
        <f>IFERROR(__xludf.DUMMYFUNCTION("IF(ISNUMBER(W112),
   IFERROR( W112 / AVERAGE( FILTER($W$2:$W1031, $A$2:$A1031=$A112, ISNUMBER($W$2:$W1031)) ), 1 ),
"""")"),"")</f>
        <v/>
      </c>
      <c r="AA112" s="51" t="str">
        <f t="shared" si="8"/>
        <v/>
      </c>
    </row>
    <row r="113">
      <c r="C113" s="10"/>
      <c r="E113" s="10"/>
      <c r="G113" s="8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V113" s="17">
        <f t="shared" si="5"/>
        <v>0</v>
      </c>
      <c r="W113" s="18" t="str">
        <f t="shared" si="6"/>
        <v>#DIV/0!</v>
      </c>
      <c r="AA113" s="51" t="str">
        <f t="shared" si="8"/>
        <v/>
      </c>
    </row>
    <row r="114">
      <c r="C114" s="10"/>
      <c r="E114" s="10"/>
      <c r="G114" s="8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V114" s="17">
        <f t="shared" si="5"/>
        <v>0</v>
      </c>
      <c r="AA114" s="51" t="str">
        <f t="shared" si="8"/>
        <v/>
      </c>
    </row>
    <row r="115">
      <c r="C115" s="10"/>
      <c r="E115" s="10"/>
      <c r="G115" s="8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V115" s="17">
        <f t="shared" si="5"/>
        <v>0</v>
      </c>
    </row>
    <row r="116">
      <c r="C116" s="10"/>
      <c r="E116" s="10"/>
      <c r="G116" s="8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V116" s="17">
        <f t="shared" si="5"/>
        <v>0</v>
      </c>
    </row>
    <row r="117">
      <c r="C117" s="10"/>
      <c r="E117" s="10"/>
      <c r="G117" s="8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V117" s="17">
        <f t="shared" si="5"/>
        <v>0</v>
      </c>
    </row>
    <row r="118">
      <c r="C118" s="10"/>
      <c r="E118" s="10"/>
      <c r="G118" s="8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V118" s="17">
        <f t="shared" si="5"/>
        <v>0</v>
      </c>
    </row>
    <row r="119">
      <c r="C119" s="10"/>
      <c r="E119" s="10"/>
      <c r="G119" s="8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V119" s="17">
        <f t="shared" si="5"/>
        <v>0</v>
      </c>
    </row>
    <row r="120">
      <c r="C120" s="10"/>
      <c r="E120" s="10"/>
      <c r="G120" s="8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V120" s="17">
        <f t="shared" si="5"/>
        <v>0</v>
      </c>
    </row>
    <row r="121">
      <c r="C121" s="10"/>
      <c r="E121" s="10"/>
      <c r="G121" s="8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V121" s="17">
        <f t="shared" si="5"/>
        <v>0</v>
      </c>
    </row>
    <row r="122">
      <c r="C122" s="10"/>
      <c r="E122" s="10"/>
      <c r="G122" s="8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V122" s="17">
        <f t="shared" si="5"/>
        <v>0</v>
      </c>
    </row>
    <row r="123">
      <c r="C123" s="10"/>
      <c r="E123" s="10"/>
      <c r="G123" s="8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V123" s="17">
        <f t="shared" si="5"/>
        <v>0</v>
      </c>
    </row>
    <row r="124">
      <c r="C124" s="10"/>
      <c r="E124" s="10"/>
      <c r="G124" s="8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V124" s="17">
        <f t="shared" si="5"/>
        <v>0</v>
      </c>
    </row>
    <row r="125">
      <c r="C125" s="10"/>
      <c r="E125" s="10"/>
      <c r="G125" s="8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V125" s="17">
        <f t="shared" si="5"/>
        <v>0</v>
      </c>
    </row>
    <row r="126">
      <c r="C126" s="10"/>
      <c r="E126" s="10"/>
      <c r="G126" s="8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V126" s="17">
        <f t="shared" si="5"/>
        <v>0</v>
      </c>
    </row>
    <row r="127">
      <c r="C127" s="10"/>
      <c r="E127" s="10"/>
      <c r="G127" s="8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V127" s="17">
        <f t="shared" si="5"/>
        <v>0</v>
      </c>
    </row>
    <row r="128">
      <c r="C128" s="10"/>
      <c r="E128" s="10"/>
      <c r="G128" s="8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V128" s="17">
        <f t="shared" si="5"/>
        <v>0</v>
      </c>
    </row>
    <row r="129">
      <c r="C129" s="10"/>
      <c r="E129" s="10"/>
      <c r="G129" s="8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V129" s="17">
        <f t="shared" si="5"/>
        <v>0</v>
      </c>
    </row>
    <row r="130">
      <c r="C130" s="10"/>
      <c r="E130" s="10"/>
      <c r="G130" s="8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V130" s="17">
        <f t="shared" si="5"/>
        <v>0</v>
      </c>
    </row>
    <row r="131">
      <c r="C131" s="10"/>
      <c r="E131" s="10"/>
      <c r="G131" s="8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V131" s="17">
        <f t="shared" si="5"/>
        <v>0</v>
      </c>
    </row>
    <row r="132">
      <c r="C132" s="10"/>
      <c r="E132" s="10"/>
      <c r="G132" s="8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V132" s="17">
        <f t="shared" si="5"/>
        <v>0</v>
      </c>
    </row>
    <row r="133">
      <c r="C133" s="10"/>
      <c r="E133" s="10"/>
      <c r="G133" s="8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V133" s="17">
        <f t="shared" si="5"/>
        <v>0</v>
      </c>
    </row>
    <row r="134">
      <c r="C134" s="10"/>
      <c r="E134" s="10"/>
      <c r="G134" s="8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V134" s="17">
        <f t="shared" si="5"/>
        <v>0</v>
      </c>
    </row>
    <row r="135">
      <c r="C135" s="10"/>
      <c r="E135" s="10"/>
      <c r="G135" s="8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V135" s="17">
        <f t="shared" si="5"/>
        <v>0</v>
      </c>
    </row>
    <row r="136">
      <c r="C136" s="10"/>
      <c r="E136" s="10"/>
      <c r="G136" s="8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V136" s="17">
        <f t="shared" si="5"/>
        <v>0</v>
      </c>
    </row>
    <row r="137">
      <c r="C137" s="10"/>
      <c r="E137" s="10"/>
      <c r="G137" s="8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V137" s="17">
        <f t="shared" si="5"/>
        <v>0</v>
      </c>
    </row>
    <row r="138">
      <c r="C138" s="10"/>
      <c r="E138" s="10"/>
      <c r="G138" s="8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V138" s="17">
        <f t="shared" si="5"/>
        <v>0</v>
      </c>
    </row>
    <row r="139">
      <c r="C139" s="10"/>
      <c r="E139" s="10"/>
      <c r="G139" s="8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V139" s="17">
        <f t="shared" si="5"/>
        <v>0</v>
      </c>
    </row>
    <row r="140">
      <c r="C140" s="10"/>
      <c r="E140" s="10"/>
      <c r="G140" s="8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V140" s="17">
        <f t="shared" si="5"/>
        <v>0</v>
      </c>
    </row>
    <row r="141">
      <c r="C141" s="10"/>
      <c r="E141" s="10"/>
      <c r="G141" s="82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>
      <c r="C142" s="10"/>
      <c r="E142" s="10"/>
      <c r="G142" s="82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>
      <c r="C143" s="10"/>
      <c r="E143" s="10"/>
      <c r="G143" s="82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>
      <c r="C144" s="10"/>
      <c r="E144" s="10"/>
      <c r="G144" s="82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>
      <c r="C145" s="10"/>
      <c r="E145" s="10"/>
      <c r="G145" s="82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>
      <c r="C146" s="10"/>
      <c r="E146" s="10"/>
      <c r="G146" s="82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>
      <c r="C147" s="10"/>
      <c r="E147" s="10"/>
      <c r="G147" s="82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>
      <c r="C148" s="10"/>
      <c r="E148" s="10"/>
      <c r="G148" s="82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>
      <c r="C149" s="10"/>
      <c r="E149" s="10"/>
      <c r="G149" s="82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>
      <c r="C150" s="10"/>
      <c r="E150" s="10"/>
      <c r="G150" s="82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>
      <c r="C151" s="10"/>
      <c r="E151" s="10"/>
      <c r="G151" s="82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>
      <c r="C152" s="10"/>
      <c r="E152" s="10"/>
      <c r="G152" s="82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>
      <c r="C153" s="10"/>
      <c r="E153" s="10"/>
      <c r="G153" s="82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>
      <c r="C154" s="10"/>
      <c r="E154" s="10"/>
      <c r="G154" s="82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>
      <c r="C155" s="10"/>
      <c r="E155" s="10"/>
      <c r="G155" s="82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>
      <c r="C156" s="10"/>
      <c r="E156" s="10"/>
      <c r="G156" s="82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>
      <c r="C157" s="10"/>
      <c r="E157" s="10"/>
      <c r="G157" s="82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>
      <c r="C158" s="10"/>
      <c r="E158" s="10"/>
      <c r="G158" s="82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>
      <c r="C159" s="10"/>
      <c r="E159" s="10"/>
      <c r="G159" s="82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>
      <c r="C160" s="10"/>
      <c r="E160" s="10"/>
      <c r="G160" s="82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>
      <c r="C161" s="10"/>
      <c r="E161" s="10"/>
      <c r="G161" s="82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>
      <c r="C162" s="10"/>
      <c r="E162" s="10"/>
      <c r="G162" s="82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>
      <c r="C163" s="10"/>
      <c r="E163" s="10"/>
      <c r="G163" s="82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>
      <c r="C164" s="10"/>
      <c r="E164" s="10"/>
      <c r="G164" s="82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>
      <c r="C165" s="10"/>
      <c r="E165" s="10"/>
      <c r="G165" s="82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>
      <c r="C166" s="10"/>
      <c r="E166" s="10"/>
      <c r="G166" s="82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>
      <c r="C167" s="10"/>
      <c r="E167" s="10"/>
      <c r="G167" s="82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>
      <c r="C168" s="10"/>
      <c r="E168" s="10"/>
      <c r="G168" s="82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>
      <c r="C169" s="10"/>
      <c r="E169" s="10"/>
      <c r="G169" s="82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>
      <c r="C170" s="10"/>
      <c r="E170" s="10"/>
      <c r="G170" s="82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>
      <c r="C171" s="10"/>
      <c r="E171" s="10"/>
      <c r="G171" s="82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>
      <c r="C172" s="10"/>
      <c r="E172" s="10"/>
      <c r="G172" s="82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>
      <c r="C173" s="10"/>
      <c r="E173" s="10"/>
      <c r="G173" s="82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>
      <c r="C174" s="10"/>
      <c r="E174" s="10"/>
      <c r="G174" s="82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>
      <c r="C175" s="10"/>
      <c r="E175" s="10"/>
      <c r="G175" s="82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>
      <c r="C176" s="10"/>
      <c r="E176" s="10"/>
      <c r="G176" s="82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>
      <c r="C177" s="10"/>
      <c r="E177" s="10"/>
      <c r="G177" s="82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>
      <c r="C178" s="10"/>
      <c r="E178" s="10"/>
      <c r="G178" s="82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>
      <c r="C179" s="10"/>
      <c r="E179" s="10"/>
      <c r="G179" s="82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>
      <c r="C180" s="10"/>
      <c r="E180" s="10"/>
      <c r="G180" s="82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>
      <c r="C181" s="10"/>
      <c r="E181" s="10"/>
      <c r="G181" s="82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>
      <c r="C182" s="10"/>
      <c r="E182" s="10"/>
      <c r="G182" s="82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>
      <c r="C183" s="10"/>
      <c r="E183" s="10"/>
      <c r="G183" s="82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>
      <c r="C184" s="10"/>
      <c r="E184" s="10"/>
      <c r="G184" s="82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>
      <c r="C185" s="10"/>
      <c r="E185" s="10"/>
      <c r="G185" s="82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>
      <c r="C186" s="10"/>
      <c r="E186" s="10"/>
      <c r="G186" s="82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>
      <c r="C187" s="10"/>
      <c r="E187" s="10"/>
      <c r="G187" s="82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>
      <c r="C188" s="10"/>
      <c r="E188" s="10"/>
      <c r="G188" s="82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>
      <c r="C189" s="10"/>
      <c r="E189" s="10"/>
      <c r="G189" s="82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>
      <c r="C190" s="10"/>
      <c r="E190" s="10"/>
      <c r="G190" s="82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>
      <c r="C191" s="10"/>
      <c r="E191" s="10"/>
      <c r="G191" s="82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>
      <c r="C192" s="10"/>
      <c r="E192" s="10"/>
      <c r="G192" s="82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>
      <c r="C193" s="10"/>
      <c r="E193" s="10"/>
      <c r="G193" s="82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>
      <c r="C194" s="10"/>
      <c r="E194" s="10"/>
      <c r="G194" s="82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>
      <c r="C195" s="10"/>
      <c r="E195" s="10"/>
      <c r="G195" s="82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>
      <c r="C196" s="10"/>
      <c r="E196" s="10"/>
      <c r="G196" s="82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>
      <c r="C197" s="10"/>
      <c r="E197" s="10"/>
      <c r="G197" s="82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>
      <c r="C198" s="10"/>
      <c r="E198" s="10"/>
      <c r="G198" s="82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>
      <c r="C199" s="10"/>
      <c r="E199" s="10"/>
      <c r="G199" s="82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>
      <c r="C200" s="10"/>
      <c r="E200" s="10"/>
      <c r="G200" s="82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>
      <c r="C201" s="10"/>
      <c r="E201" s="10"/>
      <c r="G201" s="82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>
      <c r="C202" s="10"/>
      <c r="E202" s="10"/>
      <c r="G202" s="82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>
      <c r="C203" s="10"/>
      <c r="E203" s="10"/>
      <c r="G203" s="82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>
      <c r="C204" s="10"/>
      <c r="E204" s="10"/>
      <c r="G204" s="82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>
      <c r="C205" s="10"/>
      <c r="E205" s="10"/>
      <c r="G205" s="82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>
      <c r="C206" s="10"/>
      <c r="E206" s="10"/>
      <c r="G206" s="82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>
      <c r="C207" s="10"/>
      <c r="E207" s="10"/>
      <c r="G207" s="82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>
      <c r="C208" s="10"/>
      <c r="E208" s="10"/>
      <c r="G208" s="82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>
      <c r="C209" s="10"/>
      <c r="E209" s="10"/>
      <c r="G209" s="82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>
      <c r="C210" s="10"/>
      <c r="E210" s="10"/>
      <c r="G210" s="82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>
      <c r="C211" s="10"/>
      <c r="E211" s="10"/>
      <c r="G211" s="82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>
      <c r="C212" s="10"/>
      <c r="E212" s="10"/>
      <c r="G212" s="82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>
      <c r="C213" s="10"/>
      <c r="E213" s="10"/>
      <c r="G213" s="82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>
      <c r="C214" s="10"/>
      <c r="E214" s="10"/>
      <c r="G214" s="82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>
      <c r="C215" s="10"/>
      <c r="E215" s="10"/>
      <c r="G215" s="82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>
      <c r="C216" s="10"/>
      <c r="E216" s="10"/>
      <c r="G216" s="82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>
      <c r="C217" s="10"/>
      <c r="E217" s="10"/>
      <c r="G217" s="82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>
      <c r="C218" s="10"/>
      <c r="E218" s="10"/>
      <c r="G218" s="82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>
      <c r="C219" s="10"/>
      <c r="E219" s="10"/>
      <c r="G219" s="82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>
      <c r="C220" s="10"/>
      <c r="E220" s="10"/>
      <c r="G220" s="82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>
      <c r="C221" s="10"/>
      <c r="E221" s="10"/>
      <c r="G221" s="82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>
      <c r="C222" s="10"/>
      <c r="E222" s="10"/>
      <c r="G222" s="82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>
      <c r="C223" s="10"/>
      <c r="E223" s="10"/>
      <c r="G223" s="82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>
      <c r="C224" s="10"/>
      <c r="E224" s="10"/>
      <c r="G224" s="82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>
      <c r="C225" s="10"/>
      <c r="E225" s="10"/>
      <c r="G225" s="82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>
      <c r="C226" s="10"/>
      <c r="E226" s="10"/>
      <c r="G226" s="82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>
      <c r="C227" s="10"/>
      <c r="E227" s="10"/>
      <c r="G227" s="82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>
      <c r="C228" s="10"/>
      <c r="E228" s="10"/>
      <c r="G228" s="82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>
      <c r="C229" s="10"/>
      <c r="E229" s="10"/>
      <c r="G229" s="82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>
      <c r="C230" s="10"/>
      <c r="E230" s="10"/>
      <c r="G230" s="82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>
      <c r="C231" s="10"/>
      <c r="E231" s="10"/>
      <c r="G231" s="82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>
      <c r="C232" s="10"/>
      <c r="E232" s="10"/>
      <c r="G232" s="82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>
      <c r="C233" s="10"/>
      <c r="E233" s="10"/>
      <c r="G233" s="82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>
      <c r="C234" s="10"/>
      <c r="E234" s="10"/>
      <c r="G234" s="82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>
      <c r="C235" s="10"/>
      <c r="E235" s="10"/>
      <c r="G235" s="82"/>
      <c r="I235" s="10"/>
      <c r="J235" s="7"/>
      <c r="K235" s="7"/>
      <c r="L235" s="7"/>
      <c r="M235" s="7"/>
      <c r="N235" s="10"/>
      <c r="O235" s="10"/>
      <c r="P235" s="10"/>
      <c r="Q235" s="10"/>
      <c r="R235" s="10"/>
    </row>
    <row r="236">
      <c r="C236" s="10"/>
      <c r="E236" s="10"/>
      <c r="G236" s="82"/>
      <c r="I236" s="10"/>
      <c r="J236" s="7"/>
      <c r="K236" s="7"/>
      <c r="L236" s="7"/>
      <c r="M236" s="7"/>
      <c r="N236" s="10"/>
      <c r="O236" s="10"/>
      <c r="P236" s="10"/>
      <c r="Q236" s="10"/>
      <c r="R236" s="10"/>
    </row>
    <row r="237">
      <c r="C237" s="10"/>
      <c r="E237" s="10"/>
      <c r="G237" s="82"/>
      <c r="I237" s="10"/>
      <c r="J237" s="7"/>
      <c r="K237" s="7"/>
      <c r="L237" s="7"/>
      <c r="M237" s="7"/>
      <c r="N237" s="10"/>
      <c r="O237" s="10"/>
      <c r="P237" s="10"/>
      <c r="Q237" s="10"/>
      <c r="R237" s="10"/>
    </row>
    <row r="238">
      <c r="C238" s="10"/>
      <c r="E238" s="10"/>
      <c r="G238" s="82"/>
      <c r="I238" s="10"/>
      <c r="J238" s="7"/>
      <c r="K238" s="7"/>
      <c r="L238" s="7"/>
      <c r="M238" s="7"/>
      <c r="N238" s="10"/>
      <c r="O238" s="10"/>
      <c r="P238" s="10"/>
      <c r="Q238" s="10"/>
      <c r="R238" s="10"/>
    </row>
    <row r="239">
      <c r="C239" s="10"/>
      <c r="E239" s="10"/>
      <c r="G239" s="82"/>
      <c r="I239" s="10"/>
      <c r="J239" s="7"/>
      <c r="K239" s="7"/>
      <c r="L239" s="7"/>
      <c r="M239" s="7"/>
      <c r="N239" s="10"/>
      <c r="O239" s="10"/>
      <c r="P239" s="10"/>
      <c r="Q239" s="10"/>
      <c r="R239" s="10"/>
    </row>
    <row r="240">
      <c r="C240" s="10"/>
      <c r="E240" s="10"/>
      <c r="G240" s="82"/>
      <c r="I240" s="10"/>
      <c r="J240" s="7"/>
      <c r="K240" s="7"/>
      <c r="L240" s="7"/>
      <c r="M240" s="7"/>
      <c r="N240" s="10"/>
      <c r="O240" s="10"/>
      <c r="P240" s="10"/>
      <c r="Q240" s="10"/>
      <c r="R240" s="10"/>
    </row>
    <row r="241">
      <c r="C241" s="10"/>
      <c r="E241" s="10"/>
      <c r="G241" s="82"/>
      <c r="I241" s="10"/>
      <c r="J241" s="7"/>
      <c r="K241" s="7"/>
      <c r="L241" s="7"/>
      <c r="M241" s="7"/>
      <c r="N241" s="10"/>
      <c r="O241" s="10"/>
      <c r="P241" s="10"/>
      <c r="Q241" s="10"/>
      <c r="R241" s="10"/>
    </row>
    <row r="242">
      <c r="C242" s="10"/>
      <c r="E242" s="10"/>
      <c r="G242" s="82"/>
      <c r="I242" s="10"/>
      <c r="J242" s="7"/>
      <c r="K242" s="7"/>
      <c r="L242" s="7"/>
      <c r="M242" s="7"/>
      <c r="N242" s="10"/>
      <c r="O242" s="10"/>
      <c r="P242" s="10"/>
      <c r="Q242" s="10"/>
      <c r="R242" s="10"/>
    </row>
    <row r="243">
      <c r="C243" s="10"/>
      <c r="E243" s="10"/>
      <c r="G243" s="82"/>
      <c r="I243" s="10"/>
      <c r="J243" s="7"/>
      <c r="K243" s="7"/>
      <c r="L243" s="7"/>
      <c r="M243" s="7"/>
      <c r="N243" s="10"/>
      <c r="O243" s="10"/>
      <c r="P243" s="10"/>
      <c r="Q243" s="10"/>
      <c r="R243" s="10"/>
    </row>
    <row r="244">
      <c r="C244" s="10"/>
      <c r="E244" s="10"/>
      <c r="G244" s="82"/>
      <c r="I244" s="10"/>
      <c r="J244" s="7"/>
      <c r="K244" s="7"/>
      <c r="L244" s="7"/>
      <c r="M244" s="7"/>
      <c r="N244" s="10"/>
      <c r="O244" s="10"/>
      <c r="P244" s="10"/>
      <c r="Q244" s="10"/>
      <c r="R244" s="10"/>
    </row>
    <row r="245">
      <c r="C245" s="10"/>
      <c r="E245" s="10"/>
      <c r="G245" s="82"/>
      <c r="I245" s="10"/>
      <c r="J245" s="7"/>
      <c r="K245" s="7"/>
      <c r="L245" s="7"/>
      <c r="M245" s="7"/>
      <c r="N245" s="10"/>
      <c r="O245" s="10"/>
      <c r="P245" s="10"/>
      <c r="Q245" s="10"/>
      <c r="R245" s="10"/>
    </row>
    <row r="246">
      <c r="C246" s="10"/>
      <c r="E246" s="10"/>
      <c r="G246" s="82"/>
      <c r="I246" s="10"/>
      <c r="J246" s="7"/>
      <c r="K246" s="7"/>
      <c r="L246" s="7"/>
      <c r="M246" s="7"/>
      <c r="N246" s="10"/>
      <c r="O246" s="10"/>
      <c r="P246" s="10"/>
      <c r="Q246" s="10"/>
      <c r="R246" s="10"/>
    </row>
    <row r="247">
      <c r="C247" s="10"/>
      <c r="E247" s="10"/>
      <c r="G247" s="82"/>
      <c r="I247" s="10"/>
      <c r="J247" s="7"/>
      <c r="K247" s="7"/>
      <c r="L247" s="7"/>
      <c r="M247" s="7"/>
      <c r="N247" s="10"/>
      <c r="O247" s="10"/>
      <c r="P247" s="10"/>
      <c r="Q247" s="10"/>
      <c r="R247" s="10"/>
    </row>
    <row r="248">
      <c r="C248" s="10"/>
      <c r="E248" s="10"/>
      <c r="G248" s="82"/>
      <c r="I248" s="10"/>
      <c r="J248" s="7"/>
      <c r="K248" s="7"/>
      <c r="L248" s="7"/>
      <c r="M248" s="7"/>
      <c r="N248" s="10"/>
      <c r="O248" s="10"/>
      <c r="P248" s="10"/>
      <c r="Q248" s="10"/>
      <c r="R248" s="10"/>
    </row>
    <row r="249">
      <c r="C249" s="10"/>
      <c r="E249" s="10"/>
      <c r="G249" s="82"/>
      <c r="I249" s="10"/>
      <c r="J249" s="7"/>
      <c r="K249" s="7"/>
      <c r="L249" s="7"/>
      <c r="M249" s="7"/>
      <c r="N249" s="10"/>
      <c r="O249" s="10"/>
      <c r="P249" s="10"/>
      <c r="Q249" s="10"/>
      <c r="R249" s="10"/>
    </row>
    <row r="250">
      <c r="C250" s="10"/>
      <c r="E250" s="10"/>
      <c r="G250" s="82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>
      <c r="C251" s="10"/>
      <c r="E251" s="10"/>
      <c r="G251" s="82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>
      <c r="C252" s="10"/>
      <c r="E252" s="10"/>
      <c r="G252" s="82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>
      <c r="C253" s="10"/>
      <c r="E253" s="10"/>
      <c r="G253" s="82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>
      <c r="C254" s="10"/>
      <c r="E254" s="10"/>
      <c r="G254" s="82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>
      <c r="C255" s="10"/>
      <c r="E255" s="10"/>
      <c r="G255" s="82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>
      <c r="C256" s="10"/>
      <c r="E256" s="10"/>
      <c r="G256" s="82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>
      <c r="C257" s="10"/>
      <c r="E257" s="10"/>
      <c r="G257" s="82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>
      <c r="C258" s="10"/>
      <c r="E258" s="10"/>
      <c r="G258" s="82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>
      <c r="C259" s="10"/>
      <c r="E259" s="10"/>
      <c r="G259" s="82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>
      <c r="C260" s="10"/>
      <c r="E260" s="10"/>
      <c r="G260" s="82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>
      <c r="C261" s="10"/>
      <c r="E261" s="10"/>
      <c r="G261" s="82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>
      <c r="C262" s="10"/>
      <c r="E262" s="10"/>
      <c r="G262" s="82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>
      <c r="C263" s="10"/>
      <c r="E263" s="10"/>
      <c r="G263" s="82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>
      <c r="C264" s="10"/>
      <c r="E264" s="10"/>
      <c r="G264" s="82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>
      <c r="C265" s="10"/>
      <c r="E265" s="10"/>
      <c r="G265" s="82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>
      <c r="C266" s="10"/>
      <c r="E266" s="10"/>
      <c r="G266" s="82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>
      <c r="C267" s="10"/>
      <c r="E267" s="10"/>
      <c r="G267" s="82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>
      <c r="C268" s="10"/>
      <c r="E268" s="10"/>
      <c r="G268" s="82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>
      <c r="C269" s="10"/>
      <c r="E269" s="10"/>
      <c r="G269" s="82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>
      <c r="C270" s="10"/>
      <c r="E270" s="10"/>
      <c r="G270" s="82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>
      <c r="C271" s="10"/>
      <c r="E271" s="10"/>
      <c r="G271" s="82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>
      <c r="C272" s="10"/>
      <c r="E272" s="10"/>
      <c r="G272" s="82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>
      <c r="C273" s="10"/>
      <c r="E273" s="10"/>
      <c r="G273" s="82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>
      <c r="C274" s="10"/>
      <c r="E274" s="10"/>
      <c r="G274" s="82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>
      <c r="C275" s="10"/>
      <c r="E275" s="10"/>
      <c r="G275" s="82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>
      <c r="C276" s="10"/>
      <c r="E276" s="10"/>
      <c r="G276" s="82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>
      <c r="C277" s="10"/>
      <c r="E277" s="10"/>
      <c r="G277" s="82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>
      <c r="C278" s="10"/>
      <c r="E278" s="10"/>
      <c r="G278" s="82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>
      <c r="C279" s="10"/>
      <c r="E279" s="10"/>
      <c r="G279" s="82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>
      <c r="C280" s="10"/>
      <c r="E280" s="10"/>
      <c r="G280" s="82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>
      <c r="C281" s="10"/>
      <c r="E281" s="10"/>
      <c r="G281" s="82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>
      <c r="C282" s="10"/>
      <c r="E282" s="10"/>
      <c r="G282" s="82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>
      <c r="C283" s="10"/>
      <c r="E283" s="10"/>
      <c r="G283" s="82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>
      <c r="C284" s="10"/>
      <c r="E284" s="10"/>
      <c r="G284" s="82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>
      <c r="C285" s="10"/>
      <c r="E285" s="10"/>
      <c r="G285" s="82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>
      <c r="C286" s="10"/>
      <c r="E286" s="10"/>
      <c r="G286" s="82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>
      <c r="C287" s="10"/>
      <c r="E287" s="10"/>
      <c r="G287" s="82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>
      <c r="C288" s="10"/>
      <c r="E288" s="10"/>
      <c r="G288" s="82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>
      <c r="C289" s="10"/>
      <c r="E289" s="10"/>
      <c r="G289" s="82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>
      <c r="C290" s="10"/>
      <c r="E290" s="10"/>
      <c r="G290" s="82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>
      <c r="C291" s="10"/>
      <c r="E291" s="10"/>
      <c r="G291" s="82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>
      <c r="C292" s="10"/>
      <c r="E292" s="10"/>
      <c r="G292" s="82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>
      <c r="C293" s="10"/>
      <c r="E293" s="10"/>
      <c r="G293" s="82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>
      <c r="C294" s="10"/>
      <c r="E294" s="10"/>
      <c r="G294" s="82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>
      <c r="C295" s="10"/>
      <c r="E295" s="10"/>
      <c r="G295" s="82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>
      <c r="C296" s="10"/>
      <c r="E296" s="10"/>
      <c r="G296" s="82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>
      <c r="C297" s="10"/>
      <c r="E297" s="10"/>
      <c r="G297" s="82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>
      <c r="C298" s="10"/>
      <c r="E298" s="10"/>
      <c r="G298" s="82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>
      <c r="C299" s="10"/>
      <c r="E299" s="10"/>
      <c r="G299" s="82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>
      <c r="C300" s="10"/>
      <c r="E300" s="10"/>
      <c r="G300" s="82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>
      <c r="C301" s="10"/>
      <c r="E301" s="10"/>
      <c r="G301" s="82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>
      <c r="C302" s="10"/>
      <c r="E302" s="10"/>
      <c r="G302" s="82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>
      <c r="C303" s="10"/>
      <c r="E303" s="10"/>
      <c r="G303" s="82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>
      <c r="C304" s="10"/>
      <c r="E304" s="10"/>
      <c r="G304" s="82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>
      <c r="C305" s="10"/>
      <c r="E305" s="10"/>
      <c r="G305" s="82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>
      <c r="C306" s="10"/>
      <c r="E306" s="10"/>
      <c r="G306" s="82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>
      <c r="C307" s="10"/>
      <c r="E307" s="10"/>
      <c r="G307" s="82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>
      <c r="C308" s="10"/>
      <c r="E308" s="10"/>
      <c r="G308" s="82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>
      <c r="C309" s="10"/>
      <c r="E309" s="10"/>
      <c r="G309" s="82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>
      <c r="C310" s="10"/>
      <c r="E310" s="10"/>
      <c r="G310" s="82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>
      <c r="C311" s="10"/>
      <c r="E311" s="10"/>
      <c r="G311" s="82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>
      <c r="C312" s="10"/>
      <c r="E312" s="10"/>
      <c r="G312" s="82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>
      <c r="C313" s="10"/>
      <c r="E313" s="10"/>
      <c r="G313" s="82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>
      <c r="C314" s="10"/>
      <c r="E314" s="10"/>
      <c r="G314" s="82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>
      <c r="C315" s="10"/>
      <c r="E315" s="10"/>
      <c r="G315" s="82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>
      <c r="C316" s="10"/>
      <c r="E316" s="10"/>
      <c r="G316" s="82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>
      <c r="C317" s="10"/>
      <c r="E317" s="10"/>
      <c r="G317" s="82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>
      <c r="C318" s="10"/>
      <c r="E318" s="10"/>
      <c r="G318" s="82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>
      <c r="C319" s="10"/>
      <c r="E319" s="10"/>
      <c r="G319" s="82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>
      <c r="C320" s="10"/>
      <c r="E320" s="10"/>
      <c r="G320" s="82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>
      <c r="C321" s="10"/>
      <c r="E321" s="10"/>
      <c r="G321" s="82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>
      <c r="C322" s="10"/>
      <c r="E322" s="10"/>
      <c r="G322" s="82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>
      <c r="C323" s="10"/>
      <c r="E323" s="10"/>
      <c r="G323" s="82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>
      <c r="C324" s="10"/>
      <c r="E324" s="10"/>
      <c r="G324" s="82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>
      <c r="C325" s="10"/>
      <c r="E325" s="10"/>
      <c r="G325" s="82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>
      <c r="C326" s="10"/>
      <c r="E326" s="10"/>
      <c r="G326" s="82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>
      <c r="C327" s="10"/>
      <c r="E327" s="10"/>
      <c r="G327" s="82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>
      <c r="C328" s="10"/>
      <c r="E328" s="10"/>
      <c r="G328" s="82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>
      <c r="C329" s="10"/>
      <c r="E329" s="10"/>
      <c r="G329" s="82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>
      <c r="C330" s="10"/>
      <c r="E330" s="10"/>
      <c r="G330" s="82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>
      <c r="C331" s="10"/>
      <c r="E331" s="10"/>
      <c r="G331" s="82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>
      <c r="C332" s="10"/>
      <c r="E332" s="10"/>
      <c r="G332" s="82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>
      <c r="C333" s="10"/>
      <c r="E333" s="10"/>
      <c r="G333" s="82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>
      <c r="C334" s="10"/>
      <c r="E334" s="10"/>
      <c r="G334" s="82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>
      <c r="C335" s="10"/>
      <c r="E335" s="10"/>
      <c r="G335" s="82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>
      <c r="C336" s="10"/>
      <c r="E336" s="10"/>
      <c r="G336" s="82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>
      <c r="C337" s="10"/>
      <c r="E337" s="10"/>
      <c r="G337" s="82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>
      <c r="C338" s="10"/>
      <c r="E338" s="10"/>
      <c r="G338" s="82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>
      <c r="C339" s="10"/>
      <c r="E339" s="10"/>
      <c r="G339" s="82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>
      <c r="C340" s="10"/>
      <c r="E340" s="10"/>
      <c r="G340" s="82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>
      <c r="C341" s="10"/>
      <c r="E341" s="10"/>
      <c r="G341" s="82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>
      <c r="C342" s="10"/>
      <c r="E342" s="10"/>
      <c r="G342" s="82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>
      <c r="C343" s="10"/>
      <c r="E343" s="10"/>
      <c r="G343" s="82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>
      <c r="C344" s="10"/>
      <c r="E344" s="10"/>
      <c r="G344" s="82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>
      <c r="C345" s="10"/>
      <c r="E345" s="10"/>
      <c r="G345" s="82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>
      <c r="C346" s="10"/>
      <c r="E346" s="10"/>
      <c r="G346" s="82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>
      <c r="C347" s="10"/>
      <c r="E347" s="10"/>
      <c r="G347" s="82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>
      <c r="C348" s="10"/>
      <c r="E348" s="10"/>
      <c r="G348" s="82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>
      <c r="C349" s="10"/>
      <c r="E349" s="10"/>
      <c r="G349" s="82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>
      <c r="C350" s="10"/>
      <c r="E350" s="10"/>
      <c r="G350" s="82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>
      <c r="C351" s="10"/>
      <c r="E351" s="10"/>
      <c r="G351" s="82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>
      <c r="C352" s="10"/>
      <c r="E352" s="10"/>
      <c r="G352" s="82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>
      <c r="C353" s="10"/>
      <c r="E353" s="10"/>
      <c r="G353" s="82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>
      <c r="C354" s="10"/>
      <c r="E354" s="10"/>
      <c r="G354" s="82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>
      <c r="C355" s="10"/>
      <c r="E355" s="10"/>
      <c r="G355" s="82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>
      <c r="C356" s="10"/>
      <c r="E356" s="10"/>
      <c r="G356" s="82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>
      <c r="C357" s="10"/>
      <c r="E357" s="10"/>
      <c r="G357" s="82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>
      <c r="C358" s="10"/>
      <c r="E358" s="10"/>
      <c r="G358" s="82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>
      <c r="C359" s="10"/>
      <c r="E359" s="10"/>
      <c r="G359" s="82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>
      <c r="C360" s="10"/>
      <c r="E360" s="10"/>
      <c r="G360" s="82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>
      <c r="C361" s="10"/>
      <c r="E361" s="10"/>
      <c r="G361" s="82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>
      <c r="C362" s="10"/>
      <c r="E362" s="10"/>
      <c r="G362" s="82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>
      <c r="C363" s="10"/>
      <c r="E363" s="10"/>
      <c r="G363" s="82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>
      <c r="C364" s="10"/>
      <c r="E364" s="10"/>
      <c r="G364" s="82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>
      <c r="C365" s="10"/>
      <c r="E365" s="10"/>
      <c r="G365" s="82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>
      <c r="C366" s="10"/>
      <c r="E366" s="10"/>
      <c r="G366" s="82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>
      <c r="C367" s="10"/>
      <c r="E367" s="10"/>
      <c r="G367" s="82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>
      <c r="C368" s="10"/>
      <c r="E368" s="10"/>
      <c r="G368" s="82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>
      <c r="C369" s="10"/>
      <c r="E369" s="10"/>
      <c r="G369" s="82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>
      <c r="C370" s="10"/>
      <c r="E370" s="10"/>
      <c r="G370" s="82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>
      <c r="C371" s="10"/>
      <c r="E371" s="10"/>
      <c r="G371" s="82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>
      <c r="C372" s="10"/>
      <c r="E372" s="10"/>
      <c r="G372" s="82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>
      <c r="C373" s="10"/>
      <c r="E373" s="10"/>
      <c r="G373" s="82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>
      <c r="C374" s="10"/>
      <c r="E374" s="10"/>
      <c r="G374" s="82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>
      <c r="C375" s="10"/>
      <c r="E375" s="10"/>
      <c r="G375" s="82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>
      <c r="C376" s="10"/>
      <c r="E376" s="10"/>
      <c r="G376" s="82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>
      <c r="C377" s="10"/>
      <c r="E377" s="10"/>
      <c r="G377" s="82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>
      <c r="C378" s="10"/>
      <c r="E378" s="10"/>
      <c r="G378" s="82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>
      <c r="C379" s="10"/>
      <c r="E379" s="10"/>
      <c r="G379" s="82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>
      <c r="C380" s="10"/>
      <c r="E380" s="10"/>
      <c r="G380" s="82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>
      <c r="C381" s="10"/>
      <c r="E381" s="10"/>
      <c r="G381" s="82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>
      <c r="C382" s="10"/>
      <c r="E382" s="10"/>
      <c r="G382" s="82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>
      <c r="C383" s="10"/>
      <c r="E383" s="10"/>
      <c r="G383" s="82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>
      <c r="C384" s="10"/>
      <c r="E384" s="10"/>
      <c r="G384" s="82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>
      <c r="C385" s="10"/>
      <c r="E385" s="10"/>
      <c r="G385" s="82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>
      <c r="C386" s="10"/>
      <c r="E386" s="10"/>
      <c r="G386" s="82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>
      <c r="C387" s="10"/>
      <c r="E387" s="10"/>
      <c r="G387" s="82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>
      <c r="C388" s="10"/>
      <c r="E388" s="10"/>
      <c r="G388" s="82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>
      <c r="C389" s="10"/>
      <c r="E389" s="10"/>
      <c r="G389" s="82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>
      <c r="C390" s="10"/>
      <c r="E390" s="10"/>
      <c r="G390" s="82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>
      <c r="C391" s="10"/>
      <c r="E391" s="10"/>
      <c r="G391" s="82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>
      <c r="C392" s="10"/>
      <c r="E392" s="10"/>
      <c r="G392" s="82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>
      <c r="C393" s="10"/>
      <c r="E393" s="10"/>
      <c r="G393" s="82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>
      <c r="C394" s="10"/>
      <c r="E394" s="10"/>
      <c r="G394" s="82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>
      <c r="C395" s="10"/>
      <c r="E395" s="10"/>
      <c r="G395" s="82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>
      <c r="C396" s="10"/>
      <c r="E396" s="10"/>
      <c r="G396" s="82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>
      <c r="C397" s="10"/>
      <c r="E397" s="10"/>
      <c r="G397" s="82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>
      <c r="C398" s="10"/>
      <c r="E398" s="10"/>
      <c r="G398" s="82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>
      <c r="C399" s="10"/>
      <c r="E399" s="10"/>
      <c r="G399" s="82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>
      <c r="C400" s="10"/>
      <c r="E400" s="10"/>
      <c r="G400" s="82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>
      <c r="C401" s="10"/>
      <c r="E401" s="10"/>
      <c r="G401" s="82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>
      <c r="C402" s="10"/>
      <c r="E402" s="10"/>
      <c r="G402" s="82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>
      <c r="C403" s="10"/>
      <c r="E403" s="10"/>
      <c r="G403" s="82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>
      <c r="C404" s="10"/>
      <c r="E404" s="10"/>
      <c r="G404" s="82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>
      <c r="C405" s="10"/>
      <c r="E405" s="10"/>
      <c r="G405" s="82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>
      <c r="C406" s="10"/>
      <c r="E406" s="10"/>
      <c r="G406" s="82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>
      <c r="C407" s="10"/>
      <c r="E407" s="10"/>
      <c r="G407" s="82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>
      <c r="C408" s="10"/>
      <c r="E408" s="10"/>
      <c r="G408" s="82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>
      <c r="C409" s="10"/>
      <c r="E409" s="10"/>
      <c r="G409" s="82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>
      <c r="C410" s="10"/>
      <c r="E410" s="10"/>
      <c r="G410" s="82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>
      <c r="C411" s="10"/>
      <c r="E411" s="10"/>
      <c r="G411" s="82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>
      <c r="C412" s="10"/>
      <c r="E412" s="10"/>
      <c r="G412" s="82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>
      <c r="C413" s="10"/>
      <c r="E413" s="10"/>
      <c r="G413" s="82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>
      <c r="C414" s="10"/>
      <c r="E414" s="10"/>
      <c r="G414" s="82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>
      <c r="C415" s="10"/>
      <c r="E415" s="10"/>
      <c r="G415" s="82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>
      <c r="C416" s="10"/>
      <c r="E416" s="10"/>
      <c r="G416" s="82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>
      <c r="C417" s="10"/>
      <c r="E417" s="10"/>
      <c r="G417" s="82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>
      <c r="C418" s="10"/>
      <c r="E418" s="10"/>
      <c r="G418" s="82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>
      <c r="C419" s="10"/>
      <c r="E419" s="10"/>
      <c r="G419" s="82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>
      <c r="C420" s="10"/>
      <c r="E420" s="10"/>
      <c r="G420" s="82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>
      <c r="C421" s="10"/>
      <c r="E421" s="10"/>
      <c r="G421" s="82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>
      <c r="C422" s="10"/>
      <c r="E422" s="10"/>
      <c r="G422" s="82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>
      <c r="C423" s="10"/>
      <c r="E423" s="10"/>
      <c r="G423" s="82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>
      <c r="C424" s="10"/>
      <c r="E424" s="10"/>
      <c r="G424" s="82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>
      <c r="C425" s="10"/>
      <c r="E425" s="10"/>
      <c r="G425" s="82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>
      <c r="C426" s="10"/>
      <c r="E426" s="10"/>
      <c r="G426" s="82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>
      <c r="C427" s="10"/>
      <c r="E427" s="10"/>
      <c r="G427" s="82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>
      <c r="C428" s="10"/>
      <c r="E428" s="10"/>
      <c r="G428" s="82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>
      <c r="C429" s="10"/>
      <c r="E429" s="10"/>
      <c r="G429" s="82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>
      <c r="C430" s="10"/>
      <c r="E430" s="10"/>
      <c r="G430" s="82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>
      <c r="C431" s="10"/>
      <c r="E431" s="10"/>
      <c r="G431" s="82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>
      <c r="C432" s="10"/>
      <c r="E432" s="10"/>
      <c r="G432" s="82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>
      <c r="C433" s="10"/>
      <c r="E433" s="10"/>
      <c r="G433" s="82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>
      <c r="C434" s="10"/>
      <c r="E434" s="10"/>
      <c r="G434" s="82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>
      <c r="C435" s="10"/>
      <c r="E435" s="10"/>
      <c r="G435" s="82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>
      <c r="C436" s="10"/>
      <c r="E436" s="10"/>
      <c r="G436" s="82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>
      <c r="C437" s="10"/>
      <c r="E437" s="10"/>
      <c r="G437" s="82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>
      <c r="C438" s="10"/>
      <c r="E438" s="10"/>
      <c r="G438" s="82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>
      <c r="C439" s="10"/>
      <c r="E439" s="10"/>
      <c r="G439" s="82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>
      <c r="C440" s="10"/>
      <c r="E440" s="10"/>
      <c r="G440" s="82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>
      <c r="C441" s="10"/>
      <c r="E441" s="10"/>
      <c r="G441" s="82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>
      <c r="C442" s="10"/>
      <c r="E442" s="10"/>
      <c r="G442" s="82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>
      <c r="C443" s="10"/>
      <c r="E443" s="10"/>
      <c r="G443" s="82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>
      <c r="C444" s="10"/>
      <c r="E444" s="10"/>
      <c r="G444" s="82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>
      <c r="C445" s="10"/>
      <c r="E445" s="10"/>
      <c r="G445" s="82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>
      <c r="C446" s="10"/>
      <c r="E446" s="10"/>
      <c r="G446" s="82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>
      <c r="C447" s="10"/>
      <c r="E447" s="10"/>
      <c r="G447" s="82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>
      <c r="C448" s="10"/>
      <c r="E448" s="10"/>
      <c r="G448" s="82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>
      <c r="C449" s="10"/>
      <c r="E449" s="10"/>
      <c r="G449" s="82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>
      <c r="C450" s="10"/>
      <c r="E450" s="10"/>
      <c r="G450" s="82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>
      <c r="C451" s="10"/>
      <c r="E451" s="10"/>
      <c r="G451" s="82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>
      <c r="C452" s="10"/>
      <c r="E452" s="10"/>
      <c r="G452" s="82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>
      <c r="C453" s="10"/>
      <c r="E453" s="10"/>
      <c r="G453" s="82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>
      <c r="C454" s="10"/>
      <c r="E454" s="10"/>
      <c r="G454" s="82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>
      <c r="C455" s="10"/>
      <c r="E455" s="10"/>
      <c r="G455" s="82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>
      <c r="C456" s="10"/>
      <c r="E456" s="10"/>
      <c r="G456" s="82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>
      <c r="C457" s="10"/>
      <c r="E457" s="10"/>
      <c r="G457" s="82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>
      <c r="C458" s="10"/>
      <c r="E458" s="10"/>
      <c r="G458" s="82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>
      <c r="C459" s="10"/>
      <c r="E459" s="10"/>
      <c r="G459" s="82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>
      <c r="C460" s="10"/>
      <c r="E460" s="10"/>
      <c r="G460" s="82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>
      <c r="C461" s="10"/>
      <c r="E461" s="10"/>
      <c r="G461" s="82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>
      <c r="C462" s="10"/>
      <c r="E462" s="10"/>
      <c r="G462" s="82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>
      <c r="C463" s="10"/>
      <c r="E463" s="10"/>
      <c r="G463" s="82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>
      <c r="C464" s="10"/>
      <c r="E464" s="10"/>
      <c r="G464" s="82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>
      <c r="C465" s="10"/>
      <c r="E465" s="10"/>
      <c r="G465" s="82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>
      <c r="C466" s="10"/>
      <c r="E466" s="10"/>
      <c r="G466" s="82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>
      <c r="C467" s="10"/>
      <c r="E467" s="10"/>
      <c r="G467" s="82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>
      <c r="C468" s="10"/>
      <c r="E468" s="10"/>
      <c r="G468" s="82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>
      <c r="C469" s="10"/>
      <c r="E469" s="10"/>
      <c r="G469" s="82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>
      <c r="C470" s="10"/>
      <c r="E470" s="10"/>
      <c r="G470" s="82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>
      <c r="C471" s="10"/>
      <c r="E471" s="10"/>
      <c r="G471" s="82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>
      <c r="C472" s="10"/>
      <c r="E472" s="10"/>
      <c r="G472" s="82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>
      <c r="C473" s="10"/>
      <c r="E473" s="10"/>
      <c r="G473" s="82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>
      <c r="C474" s="10"/>
      <c r="E474" s="10"/>
      <c r="G474" s="82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>
      <c r="C475" s="10"/>
      <c r="E475" s="10"/>
      <c r="G475" s="82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>
      <c r="C476" s="10"/>
      <c r="E476" s="10"/>
      <c r="G476" s="82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>
      <c r="C477" s="10"/>
      <c r="E477" s="10"/>
      <c r="G477" s="82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>
      <c r="C478" s="10"/>
      <c r="E478" s="10"/>
      <c r="G478" s="82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>
      <c r="C479" s="10"/>
      <c r="E479" s="10"/>
      <c r="G479" s="82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>
      <c r="C480" s="10"/>
      <c r="E480" s="10"/>
      <c r="G480" s="82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>
      <c r="C481" s="10"/>
      <c r="E481" s="10"/>
      <c r="G481" s="82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>
      <c r="C482" s="10"/>
      <c r="E482" s="10"/>
      <c r="G482" s="82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>
      <c r="C483" s="10"/>
      <c r="E483" s="10"/>
      <c r="G483" s="82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>
      <c r="C484" s="10"/>
      <c r="E484" s="10"/>
      <c r="G484" s="82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>
      <c r="C485" s="10"/>
      <c r="E485" s="10"/>
      <c r="G485" s="82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>
      <c r="C486" s="10"/>
      <c r="E486" s="10"/>
      <c r="G486" s="82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>
      <c r="C487" s="10"/>
      <c r="E487" s="10"/>
      <c r="G487" s="82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>
      <c r="C488" s="10"/>
      <c r="E488" s="10"/>
      <c r="G488" s="82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>
      <c r="C489" s="10"/>
      <c r="E489" s="10"/>
      <c r="G489" s="82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>
      <c r="C490" s="10"/>
      <c r="E490" s="10"/>
      <c r="G490" s="82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>
      <c r="C491" s="10"/>
      <c r="E491" s="10"/>
      <c r="G491" s="82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>
      <c r="C492" s="10"/>
      <c r="E492" s="10"/>
      <c r="G492" s="82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>
      <c r="C493" s="10"/>
      <c r="E493" s="10"/>
      <c r="G493" s="82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>
      <c r="C494" s="10"/>
      <c r="E494" s="10"/>
      <c r="G494" s="82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>
      <c r="C495" s="10"/>
      <c r="E495" s="10"/>
      <c r="G495" s="82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>
      <c r="C496" s="10"/>
      <c r="E496" s="10"/>
      <c r="G496" s="82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>
      <c r="C497" s="10"/>
      <c r="E497" s="10"/>
      <c r="G497" s="82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>
      <c r="C498" s="10"/>
      <c r="E498" s="10"/>
      <c r="G498" s="82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>
      <c r="C499" s="10"/>
      <c r="E499" s="10"/>
      <c r="G499" s="82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>
      <c r="C500" s="10"/>
      <c r="E500" s="10"/>
      <c r="G500" s="82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>
      <c r="C501" s="10"/>
      <c r="E501" s="10"/>
      <c r="G501" s="82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>
      <c r="C502" s="10"/>
      <c r="E502" s="10"/>
      <c r="G502" s="82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>
      <c r="C503" s="10"/>
      <c r="E503" s="10"/>
      <c r="G503" s="82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>
      <c r="C504" s="10"/>
      <c r="E504" s="10"/>
      <c r="G504" s="82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>
      <c r="C505" s="10"/>
      <c r="E505" s="10"/>
      <c r="G505" s="82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>
      <c r="C506" s="10"/>
      <c r="E506" s="10"/>
      <c r="G506" s="82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>
      <c r="C507" s="10"/>
      <c r="E507" s="10"/>
      <c r="G507" s="82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>
      <c r="C508" s="10"/>
      <c r="E508" s="10"/>
      <c r="G508" s="82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>
      <c r="C509" s="10"/>
      <c r="E509" s="10"/>
      <c r="G509" s="82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>
      <c r="C510" s="10"/>
      <c r="E510" s="10"/>
      <c r="G510" s="82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>
      <c r="C511" s="10"/>
      <c r="E511" s="10"/>
      <c r="G511" s="82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>
      <c r="C512" s="10"/>
      <c r="E512" s="10"/>
      <c r="G512" s="82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>
      <c r="C513" s="10"/>
      <c r="E513" s="10"/>
      <c r="G513" s="82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>
      <c r="C514" s="10"/>
      <c r="E514" s="10"/>
      <c r="G514" s="82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>
      <c r="C515" s="10"/>
      <c r="E515" s="10"/>
      <c r="G515" s="82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>
      <c r="C516" s="10"/>
      <c r="E516" s="10"/>
      <c r="G516" s="82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>
      <c r="C517" s="10"/>
      <c r="E517" s="10"/>
      <c r="G517" s="82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>
      <c r="C518" s="10"/>
      <c r="E518" s="10"/>
      <c r="G518" s="82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>
      <c r="C519" s="10"/>
      <c r="E519" s="10"/>
      <c r="G519" s="82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>
      <c r="C520" s="10"/>
      <c r="E520" s="10"/>
      <c r="G520" s="82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>
      <c r="C521" s="10"/>
      <c r="E521" s="10"/>
      <c r="G521" s="82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>
      <c r="C522" s="10"/>
      <c r="E522" s="10"/>
      <c r="G522" s="82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>
      <c r="C523" s="10"/>
      <c r="E523" s="10"/>
      <c r="G523" s="82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>
      <c r="C524" s="10"/>
      <c r="E524" s="10"/>
      <c r="G524" s="82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>
      <c r="C525" s="10"/>
      <c r="E525" s="10"/>
      <c r="G525" s="82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>
      <c r="C526" s="10"/>
      <c r="E526" s="10"/>
      <c r="G526" s="82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>
      <c r="C527" s="10"/>
      <c r="E527" s="10"/>
      <c r="G527" s="82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>
      <c r="C528" s="10"/>
      <c r="E528" s="10"/>
      <c r="G528" s="82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>
      <c r="C529" s="10"/>
      <c r="E529" s="10"/>
      <c r="G529" s="82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>
      <c r="C530" s="10"/>
      <c r="E530" s="10"/>
      <c r="G530" s="82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>
      <c r="C531" s="10"/>
      <c r="E531" s="10"/>
      <c r="G531" s="82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>
      <c r="C532" s="10"/>
      <c r="E532" s="10"/>
      <c r="G532" s="82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>
      <c r="C533" s="10"/>
      <c r="E533" s="10"/>
      <c r="G533" s="82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>
      <c r="C534" s="10"/>
      <c r="E534" s="10"/>
      <c r="G534" s="82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>
      <c r="C535" s="10"/>
      <c r="E535" s="10"/>
      <c r="G535" s="82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>
      <c r="C536" s="10"/>
      <c r="E536" s="10"/>
      <c r="G536" s="82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>
      <c r="C537" s="10"/>
      <c r="E537" s="10"/>
      <c r="G537" s="82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>
      <c r="C538" s="10"/>
      <c r="E538" s="10"/>
      <c r="G538" s="82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>
      <c r="C539" s="10"/>
      <c r="E539" s="10"/>
      <c r="G539" s="82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>
      <c r="C540" s="10"/>
      <c r="E540" s="10"/>
      <c r="G540" s="82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>
      <c r="C541" s="10"/>
      <c r="E541" s="10"/>
      <c r="G541" s="82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>
      <c r="C542" s="10"/>
      <c r="E542" s="10"/>
      <c r="G542" s="82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>
      <c r="C543" s="10"/>
      <c r="E543" s="10"/>
      <c r="G543" s="82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>
      <c r="C544" s="10"/>
      <c r="E544" s="10"/>
      <c r="G544" s="82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>
      <c r="C545" s="10"/>
      <c r="E545" s="10"/>
      <c r="G545" s="82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>
      <c r="C546" s="10"/>
      <c r="E546" s="10"/>
      <c r="G546" s="82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>
      <c r="C547" s="10"/>
      <c r="E547" s="10"/>
      <c r="G547" s="82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>
      <c r="C548" s="10"/>
      <c r="E548" s="10"/>
      <c r="G548" s="82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>
      <c r="C549" s="10"/>
      <c r="E549" s="10"/>
      <c r="G549" s="82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>
      <c r="C550" s="10"/>
      <c r="E550" s="10"/>
      <c r="G550" s="82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>
      <c r="C551" s="10"/>
      <c r="E551" s="10"/>
      <c r="G551" s="82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>
      <c r="C552" s="10"/>
      <c r="E552" s="10"/>
      <c r="G552" s="82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>
      <c r="C553" s="10"/>
      <c r="E553" s="10"/>
      <c r="G553" s="82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>
      <c r="C554" s="10"/>
      <c r="E554" s="10"/>
      <c r="G554" s="82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>
      <c r="C555" s="10"/>
      <c r="E555" s="10"/>
      <c r="G555" s="82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>
      <c r="C556" s="10"/>
      <c r="E556" s="10"/>
      <c r="G556" s="82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>
      <c r="C557" s="10"/>
      <c r="E557" s="10"/>
      <c r="G557" s="82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>
      <c r="C558" s="10"/>
      <c r="E558" s="10"/>
      <c r="G558" s="82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>
      <c r="C559" s="10"/>
      <c r="E559" s="10"/>
      <c r="G559" s="82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>
      <c r="C560" s="10"/>
      <c r="E560" s="10"/>
      <c r="G560" s="82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>
      <c r="C561" s="10"/>
      <c r="E561" s="10"/>
      <c r="G561" s="82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>
      <c r="C562" s="10"/>
      <c r="E562" s="10"/>
      <c r="G562" s="82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>
      <c r="C563" s="10"/>
      <c r="E563" s="10"/>
      <c r="G563" s="82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>
      <c r="C564" s="10"/>
      <c r="E564" s="10"/>
      <c r="G564" s="82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>
      <c r="C565" s="10"/>
      <c r="E565" s="10"/>
      <c r="G565" s="82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>
      <c r="C566" s="10"/>
      <c r="E566" s="10"/>
      <c r="G566" s="82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>
      <c r="C567" s="10"/>
      <c r="E567" s="10"/>
      <c r="G567" s="82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>
      <c r="C568" s="10"/>
      <c r="E568" s="10"/>
      <c r="G568" s="82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>
      <c r="C569" s="10"/>
      <c r="E569" s="10"/>
      <c r="G569" s="82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>
      <c r="C570" s="10"/>
      <c r="E570" s="10"/>
      <c r="G570" s="82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>
      <c r="C571" s="10"/>
      <c r="E571" s="10"/>
      <c r="G571" s="82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>
      <c r="C572" s="10"/>
      <c r="E572" s="10"/>
      <c r="G572" s="82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>
      <c r="C573" s="10"/>
      <c r="E573" s="10"/>
      <c r="G573" s="82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>
      <c r="C574" s="10"/>
      <c r="E574" s="10"/>
      <c r="G574" s="82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>
      <c r="C575" s="10"/>
      <c r="E575" s="10"/>
      <c r="G575" s="82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>
      <c r="C576" s="10"/>
      <c r="E576" s="10"/>
      <c r="G576" s="82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>
      <c r="C577" s="10"/>
      <c r="E577" s="10"/>
      <c r="G577" s="82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>
      <c r="C578" s="10"/>
      <c r="E578" s="10"/>
      <c r="G578" s="82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>
      <c r="C579" s="10"/>
      <c r="E579" s="10"/>
      <c r="G579" s="82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>
      <c r="C580" s="10"/>
      <c r="E580" s="10"/>
      <c r="G580" s="82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>
      <c r="C581" s="10"/>
      <c r="E581" s="10"/>
      <c r="G581" s="82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>
      <c r="C582" s="10"/>
      <c r="E582" s="10"/>
      <c r="G582" s="82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>
      <c r="C583" s="10"/>
      <c r="E583" s="10"/>
      <c r="G583" s="82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>
      <c r="C584" s="10"/>
      <c r="E584" s="10"/>
      <c r="G584" s="82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>
      <c r="C585" s="10"/>
      <c r="E585" s="10"/>
      <c r="G585" s="82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>
      <c r="C586" s="10"/>
      <c r="E586" s="10"/>
      <c r="G586" s="82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>
      <c r="C587" s="10"/>
      <c r="E587" s="10"/>
      <c r="G587" s="82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>
      <c r="C588" s="10"/>
      <c r="E588" s="10"/>
      <c r="G588" s="82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>
      <c r="C589" s="10"/>
      <c r="E589" s="10"/>
      <c r="G589" s="82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>
      <c r="C590" s="10"/>
      <c r="E590" s="10"/>
      <c r="G590" s="82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>
      <c r="C591" s="10"/>
      <c r="E591" s="10"/>
      <c r="G591" s="82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>
      <c r="C592" s="10"/>
      <c r="E592" s="10"/>
      <c r="G592" s="82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>
      <c r="C593" s="10"/>
      <c r="E593" s="10"/>
      <c r="G593" s="82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>
      <c r="C594" s="10"/>
      <c r="E594" s="10"/>
      <c r="G594" s="82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>
      <c r="C595" s="10"/>
      <c r="E595" s="10"/>
      <c r="G595" s="82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>
      <c r="C596" s="10"/>
      <c r="E596" s="10"/>
      <c r="G596" s="82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>
      <c r="C597" s="10"/>
      <c r="E597" s="10"/>
      <c r="G597" s="82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>
      <c r="C598" s="10"/>
      <c r="E598" s="10"/>
      <c r="G598" s="82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  <row r="599">
      <c r="C599" s="10"/>
      <c r="E599" s="10"/>
      <c r="G599" s="82"/>
      <c r="I599" s="10"/>
      <c r="J599" s="10"/>
      <c r="K599" s="10"/>
      <c r="L599" s="10"/>
      <c r="M599" s="10"/>
      <c r="N599" s="10"/>
      <c r="O599" s="10"/>
      <c r="P599" s="10"/>
      <c r="Q599" s="10"/>
      <c r="R599" s="10"/>
    </row>
    <row r="600">
      <c r="C600" s="10"/>
      <c r="E600" s="10"/>
      <c r="G600" s="82"/>
      <c r="I600" s="10"/>
      <c r="J600" s="10"/>
      <c r="K600" s="10"/>
      <c r="L600" s="10"/>
      <c r="M600" s="10"/>
      <c r="N600" s="10"/>
      <c r="O600" s="10"/>
      <c r="P600" s="10"/>
      <c r="Q600" s="10"/>
      <c r="R600" s="10"/>
    </row>
    <row r="601">
      <c r="C601" s="10"/>
      <c r="E601" s="10"/>
      <c r="G601" s="82"/>
      <c r="I601" s="10"/>
      <c r="J601" s="10"/>
      <c r="K601" s="10"/>
      <c r="L601" s="10"/>
      <c r="M601" s="10"/>
      <c r="N601" s="10"/>
      <c r="O601" s="10"/>
      <c r="P601" s="10"/>
      <c r="Q601" s="10"/>
      <c r="R601" s="10"/>
    </row>
    <row r="602">
      <c r="C602" s="10"/>
      <c r="E602" s="10"/>
      <c r="G602" s="82"/>
      <c r="I602" s="10"/>
      <c r="J602" s="10"/>
      <c r="K602" s="10"/>
      <c r="L602" s="10"/>
      <c r="M602" s="10"/>
      <c r="N602" s="10"/>
      <c r="O602" s="10"/>
      <c r="P602" s="10"/>
      <c r="Q602" s="10"/>
      <c r="R602" s="10"/>
    </row>
    <row r="603">
      <c r="C603" s="10"/>
      <c r="E603" s="10"/>
      <c r="G603" s="82"/>
      <c r="I603" s="10"/>
      <c r="J603" s="10"/>
      <c r="K603" s="10"/>
      <c r="L603" s="10"/>
      <c r="M603" s="10"/>
      <c r="N603" s="10"/>
      <c r="O603" s="10"/>
      <c r="P603" s="10"/>
      <c r="Q603" s="10"/>
      <c r="R603" s="10"/>
    </row>
    <row r="604">
      <c r="C604" s="10"/>
      <c r="E604" s="10"/>
      <c r="G604" s="82"/>
      <c r="I604" s="10"/>
      <c r="J604" s="10"/>
      <c r="K604" s="10"/>
      <c r="L604" s="10"/>
      <c r="M604" s="10"/>
      <c r="N604" s="10"/>
      <c r="O604" s="10"/>
      <c r="P604" s="10"/>
      <c r="Q604" s="10"/>
      <c r="R604" s="10"/>
    </row>
    <row r="605">
      <c r="C605" s="10"/>
      <c r="E605" s="10"/>
      <c r="G605" s="82"/>
      <c r="I605" s="10"/>
      <c r="J605" s="10"/>
      <c r="K605" s="10"/>
      <c r="L605" s="10"/>
      <c r="M605" s="10"/>
      <c r="N605" s="10"/>
      <c r="O605" s="10"/>
      <c r="P605" s="10"/>
      <c r="Q605" s="10"/>
      <c r="R605" s="10"/>
    </row>
    <row r="606">
      <c r="C606" s="10"/>
      <c r="E606" s="10"/>
      <c r="G606" s="82"/>
      <c r="I606" s="10"/>
      <c r="J606" s="10"/>
      <c r="K606" s="10"/>
      <c r="L606" s="10"/>
      <c r="M606" s="10"/>
      <c r="N606" s="10"/>
      <c r="O606" s="10"/>
      <c r="P606" s="10"/>
      <c r="Q606" s="10"/>
      <c r="R606" s="10"/>
    </row>
    <row r="607">
      <c r="C607" s="10"/>
      <c r="E607" s="10"/>
      <c r="G607" s="82"/>
      <c r="I607" s="10"/>
      <c r="J607" s="10"/>
      <c r="K607" s="10"/>
      <c r="L607" s="10"/>
      <c r="M607" s="10"/>
      <c r="N607" s="10"/>
      <c r="O607" s="10"/>
      <c r="P607" s="10"/>
      <c r="Q607" s="10"/>
      <c r="R607" s="10"/>
    </row>
    <row r="608">
      <c r="C608" s="10"/>
      <c r="E608" s="10"/>
      <c r="G608" s="82"/>
      <c r="I608" s="10"/>
      <c r="J608" s="10"/>
      <c r="K608" s="10"/>
      <c r="L608" s="10"/>
      <c r="M608" s="10"/>
      <c r="N608" s="10"/>
      <c r="O608" s="10"/>
      <c r="P608" s="10"/>
      <c r="Q608" s="10"/>
      <c r="R608" s="10"/>
    </row>
    <row r="609">
      <c r="C609" s="10"/>
      <c r="E609" s="10"/>
      <c r="G609" s="82"/>
      <c r="I609" s="10"/>
      <c r="J609" s="10"/>
      <c r="K609" s="10"/>
      <c r="L609" s="10"/>
      <c r="M609" s="10"/>
      <c r="N609" s="10"/>
      <c r="O609" s="10"/>
      <c r="P609" s="10"/>
      <c r="Q609" s="10"/>
      <c r="R609" s="10"/>
    </row>
    <row r="610">
      <c r="C610" s="10"/>
      <c r="E610" s="10"/>
      <c r="G610" s="82"/>
      <c r="I610" s="10"/>
      <c r="J610" s="10"/>
      <c r="K610" s="10"/>
      <c r="L610" s="10"/>
      <c r="M610" s="10"/>
      <c r="N610" s="10"/>
      <c r="O610" s="10"/>
      <c r="P610" s="10"/>
      <c r="Q610" s="10"/>
      <c r="R610" s="10"/>
    </row>
    <row r="611">
      <c r="C611" s="10"/>
      <c r="E611" s="10"/>
      <c r="G611" s="82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>
      <c r="C612" s="10"/>
      <c r="E612" s="10"/>
      <c r="G612" s="82"/>
      <c r="I612" s="10"/>
      <c r="J612" s="10"/>
      <c r="K612" s="10"/>
      <c r="L612" s="10"/>
      <c r="M612" s="10"/>
      <c r="N612" s="10"/>
      <c r="O612" s="10"/>
      <c r="P612" s="10"/>
      <c r="Q612" s="10"/>
      <c r="R612" s="10"/>
    </row>
    <row r="613">
      <c r="C613" s="10"/>
      <c r="E613" s="10"/>
      <c r="G613" s="82"/>
      <c r="I613" s="10"/>
      <c r="J613" s="10"/>
      <c r="K613" s="10"/>
      <c r="L613" s="10"/>
      <c r="M613" s="10"/>
      <c r="N613" s="10"/>
      <c r="O613" s="10"/>
      <c r="P613" s="10"/>
      <c r="Q613" s="10"/>
      <c r="R613" s="10"/>
    </row>
    <row r="614">
      <c r="C614" s="10"/>
      <c r="E614" s="10"/>
      <c r="G614" s="82"/>
      <c r="I614" s="10"/>
      <c r="J614" s="10"/>
      <c r="K614" s="10"/>
      <c r="L614" s="10"/>
      <c r="M614" s="10"/>
      <c r="N614" s="10"/>
      <c r="O614" s="10"/>
      <c r="P614" s="10"/>
      <c r="Q614" s="10"/>
      <c r="R614" s="10"/>
    </row>
    <row r="615">
      <c r="C615" s="10"/>
      <c r="E615" s="10"/>
      <c r="G615" s="82"/>
      <c r="I615" s="10"/>
      <c r="J615" s="10"/>
      <c r="K615" s="10"/>
      <c r="L615" s="10"/>
      <c r="M615" s="10"/>
      <c r="N615" s="10"/>
      <c r="O615" s="10"/>
      <c r="P615" s="10"/>
      <c r="Q615" s="10"/>
      <c r="R615" s="10"/>
    </row>
    <row r="616">
      <c r="C616" s="10"/>
      <c r="E616" s="10"/>
      <c r="G616" s="82"/>
      <c r="I616" s="10"/>
      <c r="J616" s="10"/>
      <c r="K616" s="10"/>
      <c r="L616" s="10"/>
      <c r="M616" s="10"/>
      <c r="N616" s="10"/>
      <c r="O616" s="10"/>
      <c r="P616" s="10"/>
      <c r="Q616" s="10"/>
      <c r="R616" s="10"/>
    </row>
    <row r="617">
      <c r="C617" s="10"/>
      <c r="E617" s="10"/>
      <c r="G617" s="82"/>
      <c r="I617" s="10"/>
      <c r="J617" s="10"/>
      <c r="K617" s="10"/>
      <c r="L617" s="10"/>
      <c r="M617" s="10"/>
      <c r="N617" s="10"/>
      <c r="O617" s="10"/>
      <c r="P617" s="10"/>
      <c r="Q617" s="10"/>
      <c r="R617" s="10"/>
    </row>
    <row r="618">
      <c r="C618" s="10"/>
      <c r="E618" s="10"/>
      <c r="G618" s="82"/>
      <c r="I618" s="10"/>
      <c r="J618" s="10"/>
      <c r="K618" s="10"/>
      <c r="L618" s="10"/>
      <c r="M618" s="10"/>
      <c r="N618" s="10"/>
      <c r="O618" s="10"/>
      <c r="P618" s="10"/>
      <c r="Q618" s="10"/>
      <c r="R618" s="10"/>
    </row>
    <row r="619">
      <c r="C619" s="10"/>
      <c r="E619" s="10"/>
      <c r="G619" s="82"/>
      <c r="I619" s="10"/>
      <c r="J619" s="10"/>
      <c r="K619" s="10"/>
      <c r="L619" s="10"/>
      <c r="M619" s="10"/>
      <c r="N619" s="10"/>
      <c r="O619" s="10"/>
      <c r="P619" s="10"/>
      <c r="Q619" s="10"/>
      <c r="R619" s="10"/>
    </row>
    <row r="620">
      <c r="C620" s="10"/>
      <c r="E620" s="10"/>
      <c r="G620" s="82"/>
      <c r="I620" s="10"/>
      <c r="J620" s="10"/>
      <c r="K620" s="10"/>
      <c r="L620" s="10"/>
      <c r="M620" s="10"/>
      <c r="N620" s="10"/>
      <c r="O620" s="10"/>
      <c r="P620" s="10"/>
      <c r="Q620" s="10"/>
      <c r="R620" s="10"/>
    </row>
    <row r="621">
      <c r="C621" s="10"/>
      <c r="E621" s="10"/>
      <c r="G621" s="82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>
      <c r="C622" s="10"/>
      <c r="E622" s="10"/>
      <c r="G622" s="82"/>
      <c r="I622" s="10"/>
      <c r="J622" s="10"/>
      <c r="K622" s="10"/>
      <c r="L622" s="10"/>
      <c r="M622" s="10"/>
      <c r="N622" s="10"/>
      <c r="O622" s="10"/>
      <c r="P622" s="10"/>
      <c r="Q622" s="10"/>
      <c r="R622" s="10"/>
    </row>
    <row r="623">
      <c r="C623" s="10"/>
      <c r="E623" s="10"/>
      <c r="G623" s="82"/>
      <c r="I623" s="10"/>
      <c r="J623" s="10"/>
      <c r="K623" s="10"/>
      <c r="L623" s="10"/>
      <c r="M623" s="10"/>
      <c r="N623" s="10"/>
      <c r="O623" s="10"/>
      <c r="P623" s="10"/>
      <c r="Q623" s="10"/>
      <c r="R623" s="10"/>
    </row>
    <row r="624">
      <c r="C624" s="10"/>
      <c r="E624" s="10"/>
      <c r="G624" s="82"/>
      <c r="I624" s="10"/>
      <c r="J624" s="10"/>
      <c r="K624" s="10"/>
      <c r="L624" s="10"/>
      <c r="M624" s="10"/>
      <c r="N624" s="10"/>
      <c r="O624" s="10"/>
      <c r="P624" s="10"/>
      <c r="Q624" s="10"/>
      <c r="R624" s="10"/>
    </row>
    <row r="625">
      <c r="C625" s="10"/>
      <c r="E625" s="10"/>
      <c r="G625" s="82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>
      <c r="C626" s="10"/>
      <c r="E626" s="10"/>
      <c r="G626" s="82"/>
      <c r="I626" s="10"/>
      <c r="J626" s="10"/>
      <c r="K626" s="10"/>
      <c r="L626" s="10"/>
      <c r="M626" s="10"/>
      <c r="N626" s="10"/>
      <c r="O626" s="10"/>
      <c r="P626" s="10"/>
      <c r="Q626" s="10"/>
      <c r="R626" s="10"/>
    </row>
    <row r="627">
      <c r="C627" s="10"/>
      <c r="E627" s="10"/>
      <c r="G627" s="82"/>
      <c r="I627" s="10"/>
      <c r="J627" s="10"/>
      <c r="K627" s="10"/>
      <c r="L627" s="10"/>
      <c r="M627" s="10"/>
      <c r="N627" s="10"/>
      <c r="O627" s="10"/>
      <c r="P627" s="10"/>
      <c r="Q627" s="10"/>
      <c r="R627" s="10"/>
    </row>
    <row r="628">
      <c r="C628" s="10"/>
      <c r="E628" s="10"/>
      <c r="G628" s="82"/>
      <c r="I628" s="10"/>
      <c r="J628" s="10"/>
      <c r="K628" s="10"/>
      <c r="L628" s="10"/>
      <c r="M628" s="10"/>
      <c r="N628" s="10"/>
      <c r="O628" s="10"/>
      <c r="P628" s="10"/>
      <c r="Q628" s="10"/>
      <c r="R628" s="10"/>
    </row>
    <row r="629">
      <c r="C629" s="10"/>
      <c r="E629" s="10"/>
      <c r="G629" s="82"/>
      <c r="I629" s="10"/>
      <c r="J629" s="10"/>
      <c r="K629" s="10"/>
      <c r="L629" s="10"/>
      <c r="M629" s="10"/>
      <c r="N629" s="10"/>
      <c r="O629" s="10"/>
      <c r="P629" s="10"/>
      <c r="Q629" s="10"/>
      <c r="R629" s="10"/>
    </row>
    <row r="630">
      <c r="C630" s="10"/>
      <c r="E630" s="10"/>
      <c r="G630" s="82"/>
      <c r="I630" s="10"/>
      <c r="J630" s="10"/>
      <c r="K630" s="10"/>
      <c r="L630" s="10"/>
      <c r="M630" s="10"/>
      <c r="N630" s="10"/>
      <c r="O630" s="10"/>
      <c r="P630" s="10"/>
      <c r="Q630" s="10"/>
      <c r="R630" s="10"/>
    </row>
    <row r="631">
      <c r="C631" s="10"/>
      <c r="E631" s="10"/>
      <c r="G631" s="82"/>
      <c r="I631" s="10"/>
      <c r="J631" s="10"/>
      <c r="K631" s="10"/>
      <c r="L631" s="10"/>
      <c r="M631" s="10"/>
      <c r="N631" s="10"/>
      <c r="O631" s="10"/>
      <c r="P631" s="10"/>
      <c r="Q631" s="10"/>
      <c r="R631" s="10"/>
    </row>
    <row r="632">
      <c r="C632" s="10"/>
      <c r="E632" s="10"/>
      <c r="G632" s="82"/>
      <c r="I632" s="10"/>
      <c r="J632" s="10"/>
      <c r="K632" s="10"/>
      <c r="L632" s="10"/>
      <c r="M632" s="10"/>
      <c r="N632" s="10"/>
      <c r="O632" s="10"/>
      <c r="P632" s="10"/>
      <c r="Q632" s="10"/>
      <c r="R632" s="10"/>
    </row>
    <row r="633">
      <c r="C633" s="10"/>
      <c r="E633" s="10"/>
      <c r="G633" s="82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>
      <c r="C634" s="10"/>
      <c r="E634" s="10"/>
      <c r="G634" s="82"/>
      <c r="I634" s="10"/>
      <c r="J634" s="10"/>
      <c r="K634" s="10"/>
      <c r="L634" s="10"/>
      <c r="M634" s="10"/>
      <c r="N634" s="10"/>
      <c r="O634" s="10"/>
      <c r="P634" s="10"/>
      <c r="Q634" s="10"/>
      <c r="R634" s="10"/>
    </row>
    <row r="635">
      <c r="C635" s="10"/>
      <c r="E635" s="10"/>
      <c r="G635" s="82"/>
      <c r="I635" s="10"/>
      <c r="J635" s="10"/>
      <c r="K635" s="10"/>
      <c r="L635" s="10"/>
      <c r="M635" s="10"/>
      <c r="N635" s="10"/>
      <c r="O635" s="10"/>
      <c r="P635" s="10"/>
      <c r="Q635" s="10"/>
      <c r="R635" s="10"/>
    </row>
    <row r="636">
      <c r="C636" s="10"/>
      <c r="E636" s="10"/>
      <c r="G636" s="82"/>
      <c r="I636" s="10"/>
      <c r="J636" s="10"/>
      <c r="K636" s="10"/>
      <c r="L636" s="10"/>
      <c r="M636" s="10"/>
      <c r="N636" s="10"/>
      <c r="O636" s="10"/>
      <c r="P636" s="10"/>
      <c r="Q636" s="10"/>
      <c r="R636" s="10"/>
    </row>
    <row r="637">
      <c r="C637" s="10"/>
      <c r="E637" s="10"/>
      <c r="G637" s="82"/>
      <c r="I637" s="10"/>
      <c r="J637" s="10"/>
      <c r="K637" s="10"/>
      <c r="L637" s="10"/>
      <c r="M637" s="10"/>
      <c r="N637" s="10"/>
      <c r="O637" s="10"/>
      <c r="P637" s="10"/>
      <c r="Q637" s="10"/>
      <c r="R637" s="10"/>
    </row>
    <row r="638">
      <c r="C638" s="10"/>
      <c r="E638" s="10"/>
      <c r="G638" s="82"/>
      <c r="I638" s="10"/>
      <c r="J638" s="10"/>
      <c r="K638" s="10"/>
      <c r="L638" s="10"/>
      <c r="M638" s="10"/>
      <c r="N638" s="10"/>
      <c r="O638" s="10"/>
      <c r="P638" s="10"/>
      <c r="Q638" s="10"/>
      <c r="R638" s="10"/>
    </row>
    <row r="639">
      <c r="C639" s="10"/>
      <c r="E639" s="10"/>
      <c r="G639" s="82"/>
      <c r="I639" s="10"/>
      <c r="J639" s="10"/>
      <c r="K639" s="10"/>
      <c r="L639" s="10"/>
      <c r="M639" s="10"/>
      <c r="N639" s="10"/>
      <c r="O639" s="10"/>
      <c r="P639" s="10"/>
      <c r="Q639" s="10"/>
      <c r="R639" s="10"/>
    </row>
    <row r="640">
      <c r="C640" s="10"/>
      <c r="E640" s="10"/>
      <c r="G640" s="82"/>
      <c r="I640" s="10"/>
      <c r="J640" s="10"/>
      <c r="K640" s="10"/>
      <c r="L640" s="10"/>
      <c r="M640" s="10"/>
      <c r="N640" s="10"/>
      <c r="O640" s="10"/>
      <c r="P640" s="10"/>
      <c r="Q640" s="10"/>
      <c r="R640" s="10"/>
    </row>
    <row r="641">
      <c r="C641" s="10"/>
      <c r="E641" s="10"/>
      <c r="G641" s="82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>
      <c r="C642" s="10"/>
      <c r="E642" s="10"/>
      <c r="G642" s="82"/>
      <c r="I642" s="10"/>
      <c r="J642" s="10"/>
      <c r="K642" s="10"/>
      <c r="L642" s="10"/>
      <c r="M642" s="10"/>
      <c r="N642" s="10"/>
      <c r="O642" s="10"/>
      <c r="P642" s="10"/>
      <c r="Q642" s="10"/>
      <c r="R642" s="10"/>
    </row>
    <row r="643">
      <c r="C643" s="10"/>
      <c r="E643" s="10"/>
      <c r="G643" s="82"/>
      <c r="I643" s="10"/>
      <c r="J643" s="10"/>
      <c r="K643" s="10"/>
      <c r="L643" s="10"/>
      <c r="M643" s="10"/>
      <c r="N643" s="10"/>
      <c r="O643" s="10"/>
      <c r="P643" s="10"/>
      <c r="Q643" s="10"/>
      <c r="R643" s="10"/>
    </row>
    <row r="644">
      <c r="C644" s="10"/>
      <c r="E644" s="10"/>
      <c r="G644" s="82"/>
      <c r="I644" s="10"/>
      <c r="J644" s="10"/>
      <c r="K644" s="10"/>
      <c r="L644" s="10"/>
      <c r="M644" s="10"/>
      <c r="N644" s="10"/>
      <c r="O644" s="10"/>
      <c r="P644" s="10"/>
      <c r="Q644" s="10"/>
      <c r="R644" s="10"/>
    </row>
    <row r="645">
      <c r="C645" s="10"/>
      <c r="E645" s="10"/>
      <c r="G645" s="82"/>
      <c r="I645" s="10"/>
      <c r="J645" s="10"/>
      <c r="K645" s="10"/>
      <c r="L645" s="10"/>
      <c r="M645" s="10"/>
      <c r="N645" s="10"/>
      <c r="O645" s="10"/>
      <c r="P645" s="10"/>
      <c r="Q645" s="10"/>
      <c r="R645" s="10"/>
    </row>
    <row r="646">
      <c r="C646" s="10"/>
      <c r="E646" s="10"/>
      <c r="G646" s="82"/>
      <c r="I646" s="10"/>
      <c r="J646" s="10"/>
      <c r="K646" s="10"/>
      <c r="L646" s="10"/>
      <c r="M646" s="10"/>
      <c r="N646" s="10"/>
      <c r="O646" s="10"/>
      <c r="P646" s="10"/>
      <c r="Q646" s="10"/>
      <c r="R646" s="10"/>
    </row>
    <row r="647">
      <c r="C647" s="10"/>
      <c r="E647" s="10"/>
      <c r="G647" s="82"/>
      <c r="I647" s="10"/>
      <c r="J647" s="10"/>
      <c r="K647" s="10"/>
      <c r="L647" s="10"/>
      <c r="M647" s="10"/>
      <c r="N647" s="10"/>
      <c r="O647" s="10"/>
      <c r="P647" s="10"/>
      <c r="Q647" s="10"/>
      <c r="R647" s="10"/>
    </row>
    <row r="648">
      <c r="C648" s="10"/>
      <c r="E648" s="10"/>
      <c r="G648" s="82"/>
      <c r="I648" s="10"/>
      <c r="J648" s="10"/>
      <c r="K648" s="10"/>
      <c r="L648" s="10"/>
      <c r="M648" s="10"/>
      <c r="N648" s="10"/>
      <c r="O648" s="10"/>
      <c r="P648" s="10"/>
      <c r="Q648" s="10"/>
      <c r="R648" s="10"/>
    </row>
    <row r="649">
      <c r="C649" s="10"/>
      <c r="E649" s="10"/>
      <c r="G649" s="82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>
      <c r="C650" s="10"/>
      <c r="E650" s="10"/>
      <c r="G650" s="82"/>
      <c r="I650" s="10"/>
      <c r="J650" s="10"/>
      <c r="K650" s="10"/>
      <c r="L650" s="10"/>
      <c r="M650" s="10"/>
      <c r="N650" s="10"/>
      <c r="O650" s="10"/>
      <c r="P650" s="10"/>
      <c r="Q650" s="10"/>
      <c r="R650" s="10"/>
    </row>
    <row r="651">
      <c r="C651" s="10"/>
      <c r="E651" s="10"/>
      <c r="G651" s="82"/>
      <c r="I651" s="10"/>
      <c r="J651" s="10"/>
      <c r="K651" s="10"/>
      <c r="L651" s="10"/>
      <c r="M651" s="10"/>
      <c r="N651" s="10"/>
      <c r="O651" s="10"/>
      <c r="P651" s="10"/>
      <c r="Q651" s="10"/>
      <c r="R651" s="10"/>
    </row>
    <row r="652">
      <c r="C652" s="10"/>
      <c r="E652" s="10"/>
      <c r="G652" s="82"/>
      <c r="I652" s="10"/>
      <c r="J652" s="10"/>
      <c r="K652" s="10"/>
      <c r="L652" s="10"/>
      <c r="M652" s="10"/>
      <c r="N652" s="10"/>
      <c r="O652" s="10"/>
      <c r="P652" s="10"/>
      <c r="Q652" s="10"/>
      <c r="R652" s="10"/>
    </row>
    <row r="653">
      <c r="C653" s="10"/>
      <c r="E653" s="10"/>
      <c r="G653" s="82"/>
      <c r="I653" s="10"/>
      <c r="J653" s="10"/>
      <c r="K653" s="10"/>
      <c r="L653" s="10"/>
      <c r="M653" s="10"/>
      <c r="N653" s="10"/>
      <c r="O653" s="10"/>
      <c r="P653" s="10"/>
      <c r="Q653" s="10"/>
      <c r="R653" s="10"/>
    </row>
    <row r="654">
      <c r="C654" s="10"/>
      <c r="E654" s="10"/>
      <c r="G654" s="82"/>
      <c r="I654" s="10"/>
      <c r="J654" s="10"/>
      <c r="K654" s="10"/>
      <c r="L654" s="10"/>
      <c r="M654" s="10"/>
      <c r="N654" s="10"/>
      <c r="O654" s="10"/>
      <c r="P654" s="10"/>
      <c r="Q654" s="10"/>
      <c r="R654" s="10"/>
    </row>
    <row r="655">
      <c r="C655" s="10"/>
      <c r="E655" s="10"/>
      <c r="G655" s="82"/>
      <c r="I655" s="10"/>
      <c r="J655" s="10"/>
      <c r="K655" s="10"/>
      <c r="L655" s="10"/>
      <c r="M655" s="10"/>
      <c r="N655" s="10"/>
      <c r="O655" s="10"/>
      <c r="P655" s="10"/>
      <c r="Q655" s="10"/>
      <c r="R655" s="10"/>
    </row>
    <row r="656">
      <c r="C656" s="10"/>
      <c r="E656" s="10"/>
      <c r="G656" s="82"/>
      <c r="I656" s="10"/>
      <c r="J656" s="10"/>
      <c r="K656" s="10"/>
      <c r="L656" s="10"/>
      <c r="M656" s="10"/>
      <c r="N656" s="10"/>
      <c r="O656" s="10"/>
      <c r="P656" s="10"/>
      <c r="Q656" s="10"/>
      <c r="R656" s="10"/>
    </row>
    <row r="657">
      <c r="C657" s="10"/>
      <c r="E657" s="10"/>
      <c r="G657" s="82"/>
      <c r="I657" s="10"/>
      <c r="J657" s="10"/>
      <c r="K657" s="10"/>
      <c r="L657" s="10"/>
      <c r="M657" s="10"/>
      <c r="N657" s="10"/>
      <c r="O657" s="10"/>
      <c r="P657" s="10"/>
      <c r="Q657" s="10"/>
      <c r="R657" s="10"/>
    </row>
    <row r="658">
      <c r="C658" s="10"/>
      <c r="E658" s="10"/>
      <c r="G658" s="82"/>
      <c r="I658" s="10"/>
      <c r="J658" s="10"/>
      <c r="K658" s="10"/>
      <c r="L658" s="10"/>
      <c r="M658" s="10"/>
      <c r="N658" s="10"/>
      <c r="O658" s="10"/>
      <c r="P658" s="10"/>
      <c r="Q658" s="10"/>
      <c r="R658" s="10"/>
    </row>
    <row r="659">
      <c r="C659" s="10"/>
      <c r="E659" s="10"/>
      <c r="G659" s="82"/>
      <c r="I659" s="10"/>
      <c r="J659" s="10"/>
      <c r="K659" s="10"/>
      <c r="L659" s="10"/>
      <c r="M659" s="10"/>
      <c r="N659" s="10"/>
      <c r="O659" s="10"/>
      <c r="P659" s="10"/>
      <c r="Q659" s="10"/>
      <c r="R659" s="10"/>
    </row>
    <row r="660">
      <c r="C660" s="10"/>
      <c r="E660" s="10"/>
      <c r="G660" s="82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>
      <c r="C661" s="10"/>
      <c r="E661" s="10"/>
      <c r="G661" s="82"/>
      <c r="I661" s="10"/>
      <c r="J661" s="10"/>
      <c r="K661" s="10"/>
      <c r="L661" s="10"/>
      <c r="M661" s="10"/>
      <c r="N661" s="10"/>
      <c r="O661" s="10"/>
      <c r="P661" s="10"/>
      <c r="Q661" s="10"/>
      <c r="R661" s="10"/>
    </row>
    <row r="662">
      <c r="C662" s="10"/>
      <c r="E662" s="10"/>
      <c r="G662" s="82"/>
      <c r="I662" s="10"/>
      <c r="J662" s="10"/>
      <c r="K662" s="10"/>
      <c r="L662" s="10"/>
      <c r="M662" s="10"/>
      <c r="N662" s="10"/>
      <c r="O662" s="10"/>
      <c r="P662" s="10"/>
      <c r="Q662" s="10"/>
      <c r="R662" s="10"/>
    </row>
    <row r="663">
      <c r="C663" s="10"/>
      <c r="E663" s="10"/>
      <c r="G663" s="82"/>
      <c r="I663" s="10"/>
      <c r="J663" s="10"/>
      <c r="K663" s="10"/>
      <c r="L663" s="10"/>
      <c r="M663" s="10"/>
      <c r="N663" s="10"/>
      <c r="O663" s="10"/>
      <c r="P663" s="10"/>
      <c r="Q663" s="10"/>
      <c r="R663" s="10"/>
    </row>
    <row r="664">
      <c r="C664" s="10"/>
      <c r="E664" s="10"/>
      <c r="G664" s="82"/>
      <c r="I664" s="10"/>
      <c r="J664" s="10"/>
      <c r="K664" s="10"/>
      <c r="L664" s="10"/>
      <c r="M664" s="10"/>
      <c r="N664" s="10"/>
      <c r="O664" s="10"/>
      <c r="P664" s="10"/>
      <c r="Q664" s="10"/>
      <c r="R664" s="10"/>
    </row>
    <row r="665">
      <c r="C665" s="10"/>
      <c r="E665" s="10"/>
      <c r="G665" s="82"/>
      <c r="I665" s="10"/>
      <c r="J665" s="10"/>
      <c r="K665" s="10"/>
      <c r="L665" s="10"/>
      <c r="M665" s="10"/>
      <c r="N665" s="10"/>
      <c r="O665" s="10"/>
      <c r="P665" s="10"/>
      <c r="Q665" s="10"/>
      <c r="R665" s="10"/>
    </row>
    <row r="666">
      <c r="C666" s="10"/>
      <c r="E666" s="10"/>
      <c r="G666" s="82"/>
      <c r="I666" s="10"/>
      <c r="J666" s="10"/>
      <c r="K666" s="10"/>
      <c r="L666" s="10"/>
      <c r="M666" s="10"/>
      <c r="N666" s="10"/>
      <c r="O666" s="10"/>
      <c r="P666" s="10"/>
      <c r="Q666" s="10"/>
      <c r="R666" s="10"/>
    </row>
    <row r="667">
      <c r="C667" s="10"/>
      <c r="E667" s="10"/>
      <c r="G667" s="82"/>
      <c r="I667" s="10"/>
      <c r="J667" s="10"/>
      <c r="K667" s="10"/>
      <c r="L667" s="10"/>
      <c r="M667" s="10"/>
      <c r="N667" s="10"/>
      <c r="O667" s="10"/>
      <c r="P667" s="10"/>
      <c r="Q667" s="10"/>
      <c r="R667" s="10"/>
    </row>
    <row r="668">
      <c r="C668" s="10"/>
      <c r="E668" s="10"/>
      <c r="G668" s="82"/>
      <c r="I668" s="10"/>
      <c r="J668" s="10"/>
      <c r="K668" s="10"/>
      <c r="L668" s="10"/>
      <c r="M668" s="10"/>
      <c r="N668" s="10"/>
      <c r="O668" s="10"/>
      <c r="P668" s="10"/>
      <c r="Q668" s="10"/>
      <c r="R668" s="10"/>
    </row>
    <row r="669">
      <c r="C669" s="10"/>
      <c r="E669" s="10"/>
      <c r="G669" s="82"/>
      <c r="I669" s="10"/>
      <c r="J669" s="10"/>
      <c r="K669" s="10"/>
      <c r="L669" s="10"/>
      <c r="M669" s="10"/>
      <c r="N669" s="10"/>
      <c r="O669" s="10"/>
      <c r="P669" s="10"/>
      <c r="Q669" s="10"/>
      <c r="R669" s="10"/>
    </row>
    <row r="670">
      <c r="C670" s="10"/>
      <c r="E670" s="10"/>
      <c r="G670" s="82"/>
      <c r="I670" s="10"/>
      <c r="J670" s="10"/>
      <c r="K670" s="10"/>
      <c r="L670" s="10"/>
      <c r="M670" s="10"/>
      <c r="N670" s="10"/>
      <c r="O670" s="10"/>
      <c r="P670" s="10"/>
      <c r="Q670" s="10"/>
      <c r="R670" s="10"/>
    </row>
    <row r="671">
      <c r="C671" s="10"/>
      <c r="E671" s="10"/>
      <c r="G671" s="82"/>
      <c r="I671" s="10"/>
      <c r="J671" s="10"/>
      <c r="K671" s="10"/>
      <c r="L671" s="10"/>
      <c r="M671" s="10"/>
      <c r="N671" s="10"/>
      <c r="O671" s="10"/>
      <c r="P671" s="10"/>
      <c r="Q671" s="10"/>
      <c r="R671" s="10"/>
    </row>
    <row r="672">
      <c r="C672" s="10"/>
      <c r="E672" s="10"/>
      <c r="G672" s="82"/>
      <c r="I672" s="10"/>
      <c r="J672" s="10"/>
      <c r="K672" s="10"/>
      <c r="L672" s="10"/>
      <c r="M672" s="10"/>
      <c r="N672" s="10"/>
      <c r="O672" s="10"/>
      <c r="P672" s="10"/>
      <c r="Q672" s="10"/>
      <c r="R672" s="10"/>
    </row>
    <row r="673">
      <c r="C673" s="10"/>
      <c r="E673" s="10"/>
      <c r="G673" s="82"/>
      <c r="I673" s="10"/>
      <c r="J673" s="10"/>
      <c r="K673" s="10"/>
      <c r="L673" s="10"/>
      <c r="M673" s="10"/>
      <c r="N673" s="10"/>
      <c r="O673" s="10"/>
      <c r="P673" s="10"/>
      <c r="Q673" s="10"/>
      <c r="R673" s="10"/>
    </row>
    <row r="674">
      <c r="C674" s="10"/>
      <c r="E674" s="10"/>
      <c r="G674" s="82"/>
      <c r="I674" s="10"/>
      <c r="J674" s="10"/>
      <c r="K674" s="10"/>
      <c r="L674" s="10"/>
      <c r="M674" s="10"/>
      <c r="N674" s="10"/>
      <c r="O674" s="10"/>
      <c r="P674" s="10"/>
      <c r="Q674" s="10"/>
      <c r="R674" s="10"/>
    </row>
    <row r="675">
      <c r="C675" s="10"/>
      <c r="E675" s="10"/>
      <c r="G675" s="82"/>
      <c r="I675" s="10"/>
      <c r="J675" s="10"/>
      <c r="K675" s="10"/>
      <c r="L675" s="10"/>
      <c r="M675" s="10"/>
      <c r="N675" s="10"/>
      <c r="O675" s="10"/>
      <c r="P675" s="10"/>
      <c r="Q675" s="10"/>
      <c r="R675" s="10"/>
    </row>
    <row r="676">
      <c r="C676" s="10"/>
      <c r="E676" s="10"/>
      <c r="G676" s="82"/>
      <c r="I676" s="10"/>
      <c r="J676" s="10"/>
      <c r="K676" s="10"/>
      <c r="L676" s="10"/>
      <c r="M676" s="10"/>
      <c r="N676" s="10"/>
      <c r="O676" s="10"/>
      <c r="P676" s="10"/>
      <c r="Q676" s="10"/>
      <c r="R676" s="10"/>
    </row>
    <row r="677">
      <c r="C677" s="10"/>
      <c r="E677" s="10"/>
      <c r="G677" s="82"/>
      <c r="I677" s="10"/>
      <c r="J677" s="10"/>
      <c r="K677" s="10"/>
      <c r="L677" s="10"/>
      <c r="M677" s="10"/>
      <c r="N677" s="10"/>
      <c r="O677" s="10"/>
      <c r="P677" s="10"/>
      <c r="Q677" s="10"/>
      <c r="R677" s="10"/>
    </row>
    <row r="678">
      <c r="C678" s="10"/>
      <c r="E678" s="10"/>
      <c r="G678" s="82"/>
      <c r="I678" s="10"/>
      <c r="J678" s="10"/>
      <c r="K678" s="10"/>
      <c r="L678" s="10"/>
      <c r="M678" s="10"/>
      <c r="N678" s="10"/>
      <c r="O678" s="10"/>
      <c r="P678" s="10"/>
      <c r="Q678" s="10"/>
      <c r="R678" s="10"/>
    </row>
    <row r="679">
      <c r="C679" s="10"/>
      <c r="E679" s="10"/>
      <c r="G679" s="82"/>
      <c r="I679" s="10"/>
      <c r="J679" s="10"/>
      <c r="K679" s="10"/>
      <c r="L679" s="10"/>
      <c r="M679" s="10"/>
      <c r="N679" s="10"/>
      <c r="O679" s="10"/>
      <c r="P679" s="10"/>
      <c r="Q679" s="10"/>
      <c r="R679" s="10"/>
    </row>
    <row r="680">
      <c r="C680" s="10"/>
      <c r="E680" s="10"/>
      <c r="G680" s="82"/>
      <c r="I680" s="10"/>
      <c r="J680" s="10"/>
      <c r="K680" s="10"/>
      <c r="L680" s="10"/>
      <c r="M680" s="10"/>
      <c r="N680" s="10"/>
      <c r="O680" s="10"/>
      <c r="P680" s="10"/>
      <c r="Q680" s="10"/>
      <c r="R680" s="10"/>
    </row>
    <row r="681">
      <c r="C681" s="10"/>
      <c r="E681" s="10"/>
      <c r="G681" s="82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>
      <c r="C682" s="10"/>
      <c r="E682" s="10"/>
      <c r="G682" s="82"/>
      <c r="I682" s="10"/>
      <c r="J682" s="10"/>
      <c r="K682" s="10"/>
      <c r="L682" s="10"/>
      <c r="M682" s="10"/>
      <c r="N682" s="10"/>
      <c r="O682" s="10"/>
      <c r="P682" s="10"/>
      <c r="Q682" s="10"/>
      <c r="R682" s="10"/>
    </row>
    <row r="683">
      <c r="C683" s="10"/>
      <c r="E683" s="10"/>
      <c r="G683" s="82"/>
      <c r="I683" s="10"/>
      <c r="J683" s="10"/>
      <c r="K683" s="10"/>
      <c r="L683" s="10"/>
      <c r="M683" s="10"/>
      <c r="N683" s="10"/>
      <c r="O683" s="10"/>
      <c r="P683" s="10"/>
      <c r="Q683" s="10"/>
      <c r="R683" s="10"/>
    </row>
    <row r="684">
      <c r="C684" s="10"/>
      <c r="E684" s="10"/>
      <c r="G684" s="82"/>
      <c r="I684" s="10"/>
      <c r="J684" s="10"/>
      <c r="K684" s="10"/>
      <c r="L684" s="10"/>
      <c r="M684" s="10"/>
      <c r="N684" s="10"/>
      <c r="O684" s="10"/>
      <c r="P684" s="10"/>
      <c r="Q684" s="10"/>
      <c r="R684" s="10"/>
    </row>
    <row r="685">
      <c r="C685" s="10"/>
      <c r="E685" s="10"/>
      <c r="G685" s="82"/>
      <c r="I685" s="10"/>
      <c r="J685" s="10"/>
      <c r="K685" s="10"/>
      <c r="L685" s="10"/>
      <c r="M685" s="10"/>
      <c r="N685" s="10"/>
      <c r="O685" s="10"/>
      <c r="P685" s="10"/>
      <c r="Q685" s="10"/>
      <c r="R685" s="10"/>
    </row>
    <row r="686">
      <c r="C686" s="10"/>
      <c r="E686" s="10"/>
      <c r="G686" s="82"/>
      <c r="I686" s="10"/>
      <c r="J686" s="10"/>
      <c r="K686" s="10"/>
      <c r="L686" s="10"/>
      <c r="M686" s="10"/>
      <c r="N686" s="10"/>
      <c r="O686" s="10"/>
      <c r="P686" s="10"/>
      <c r="Q686" s="10"/>
      <c r="R686" s="10"/>
    </row>
    <row r="687">
      <c r="C687" s="10"/>
      <c r="E687" s="10"/>
      <c r="G687" s="82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>
      <c r="C688" s="10"/>
      <c r="E688" s="10"/>
      <c r="G688" s="82"/>
      <c r="I688" s="10"/>
      <c r="J688" s="10"/>
      <c r="K688" s="10"/>
      <c r="L688" s="10"/>
      <c r="M688" s="10"/>
      <c r="N688" s="10"/>
      <c r="O688" s="10"/>
      <c r="P688" s="10"/>
      <c r="Q688" s="10"/>
      <c r="R688" s="10"/>
    </row>
    <row r="689">
      <c r="C689" s="10"/>
      <c r="E689" s="10"/>
      <c r="G689" s="82"/>
      <c r="I689" s="10"/>
      <c r="J689" s="10"/>
      <c r="K689" s="10"/>
      <c r="L689" s="10"/>
      <c r="M689" s="10"/>
      <c r="N689" s="10"/>
      <c r="O689" s="10"/>
      <c r="P689" s="10"/>
      <c r="Q689" s="10"/>
      <c r="R689" s="10"/>
    </row>
    <row r="690">
      <c r="C690" s="10"/>
      <c r="E690" s="10"/>
      <c r="G690" s="82"/>
      <c r="I690" s="10"/>
      <c r="J690" s="10"/>
      <c r="K690" s="10"/>
      <c r="L690" s="10"/>
      <c r="M690" s="10"/>
      <c r="N690" s="10"/>
      <c r="O690" s="10"/>
      <c r="P690" s="10"/>
      <c r="Q690" s="10"/>
      <c r="R690" s="10"/>
    </row>
    <row r="691">
      <c r="C691" s="10"/>
      <c r="E691" s="10"/>
      <c r="G691" s="82"/>
      <c r="I691" s="10"/>
      <c r="J691" s="10"/>
      <c r="K691" s="10"/>
      <c r="L691" s="10"/>
      <c r="M691" s="10"/>
      <c r="N691" s="10"/>
      <c r="O691" s="10"/>
      <c r="P691" s="10"/>
      <c r="Q691" s="10"/>
      <c r="R691" s="10"/>
    </row>
    <row r="692">
      <c r="C692" s="10"/>
      <c r="E692" s="10"/>
      <c r="G692" s="82"/>
      <c r="I692" s="10"/>
      <c r="J692" s="10"/>
      <c r="K692" s="10"/>
      <c r="L692" s="10"/>
      <c r="M692" s="10"/>
      <c r="N692" s="10"/>
      <c r="O692" s="10"/>
      <c r="P692" s="10"/>
      <c r="Q692" s="10"/>
      <c r="R692" s="10"/>
    </row>
    <row r="693">
      <c r="C693" s="10"/>
      <c r="E693" s="10"/>
      <c r="G693" s="82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>
      <c r="C694" s="10"/>
      <c r="E694" s="10"/>
      <c r="G694" s="82"/>
      <c r="I694" s="10"/>
      <c r="J694" s="10"/>
      <c r="K694" s="10"/>
      <c r="L694" s="10"/>
      <c r="M694" s="10"/>
      <c r="N694" s="10"/>
      <c r="O694" s="10"/>
      <c r="P694" s="10"/>
      <c r="Q694" s="10"/>
      <c r="R694" s="10"/>
    </row>
    <row r="695">
      <c r="C695" s="10"/>
      <c r="E695" s="10"/>
      <c r="G695" s="82"/>
      <c r="I695" s="10"/>
      <c r="J695" s="10"/>
      <c r="K695" s="10"/>
      <c r="L695" s="10"/>
      <c r="M695" s="10"/>
      <c r="N695" s="10"/>
      <c r="O695" s="10"/>
      <c r="P695" s="10"/>
      <c r="Q695" s="10"/>
      <c r="R695" s="10"/>
    </row>
    <row r="696">
      <c r="C696" s="10"/>
      <c r="E696" s="10"/>
      <c r="G696" s="82"/>
      <c r="I696" s="10"/>
      <c r="J696" s="10"/>
      <c r="K696" s="10"/>
      <c r="L696" s="10"/>
      <c r="M696" s="10"/>
      <c r="N696" s="10"/>
      <c r="O696" s="10"/>
      <c r="P696" s="10"/>
      <c r="Q696" s="10"/>
      <c r="R696" s="10"/>
    </row>
    <row r="697">
      <c r="C697" s="10"/>
      <c r="E697" s="10"/>
      <c r="G697" s="82"/>
      <c r="I697" s="10"/>
      <c r="J697" s="10"/>
      <c r="K697" s="10"/>
      <c r="L697" s="10"/>
      <c r="M697" s="10"/>
      <c r="N697" s="10"/>
      <c r="O697" s="10"/>
      <c r="P697" s="10"/>
      <c r="Q697" s="10"/>
      <c r="R697" s="10"/>
    </row>
    <row r="698">
      <c r="C698" s="10"/>
      <c r="E698" s="10"/>
      <c r="G698" s="82"/>
      <c r="I698" s="10"/>
      <c r="J698" s="10"/>
      <c r="K698" s="10"/>
      <c r="L698" s="10"/>
      <c r="M698" s="10"/>
      <c r="N698" s="10"/>
      <c r="O698" s="10"/>
      <c r="P698" s="10"/>
      <c r="Q698" s="10"/>
      <c r="R698" s="10"/>
    </row>
    <row r="699">
      <c r="C699" s="10"/>
      <c r="E699" s="10"/>
      <c r="G699" s="82"/>
      <c r="I699" s="10"/>
      <c r="J699" s="10"/>
      <c r="K699" s="10"/>
      <c r="L699" s="10"/>
      <c r="M699" s="10"/>
      <c r="N699" s="10"/>
      <c r="O699" s="10"/>
      <c r="P699" s="10"/>
      <c r="Q699" s="10"/>
      <c r="R699" s="10"/>
    </row>
    <row r="700">
      <c r="C700" s="10"/>
      <c r="E700" s="10"/>
      <c r="G700" s="82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>
      <c r="C701" s="10"/>
      <c r="E701" s="10"/>
      <c r="G701" s="82"/>
      <c r="I701" s="10"/>
      <c r="J701" s="10"/>
      <c r="K701" s="10"/>
      <c r="L701" s="10"/>
      <c r="M701" s="10"/>
      <c r="N701" s="10"/>
      <c r="O701" s="10"/>
      <c r="P701" s="10"/>
      <c r="Q701" s="10"/>
      <c r="R701" s="10"/>
    </row>
    <row r="702">
      <c r="C702" s="10"/>
      <c r="E702" s="10"/>
      <c r="G702" s="82"/>
      <c r="I702" s="10"/>
      <c r="J702" s="10"/>
      <c r="K702" s="10"/>
      <c r="L702" s="10"/>
      <c r="M702" s="10"/>
      <c r="N702" s="10"/>
      <c r="O702" s="10"/>
      <c r="P702" s="10"/>
      <c r="Q702" s="10"/>
      <c r="R702" s="10"/>
    </row>
    <row r="703">
      <c r="C703" s="10"/>
      <c r="E703" s="10"/>
      <c r="G703" s="82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>
      <c r="C704" s="10"/>
      <c r="E704" s="10"/>
      <c r="G704" s="82"/>
      <c r="I704" s="10"/>
      <c r="J704" s="10"/>
      <c r="K704" s="10"/>
      <c r="L704" s="10"/>
      <c r="M704" s="10"/>
      <c r="N704" s="10"/>
      <c r="O704" s="10"/>
      <c r="P704" s="10"/>
      <c r="Q704" s="10"/>
      <c r="R704" s="10"/>
    </row>
    <row r="705">
      <c r="C705" s="10"/>
      <c r="E705" s="10"/>
      <c r="G705" s="82"/>
      <c r="I705" s="10"/>
      <c r="J705" s="10"/>
      <c r="K705" s="10"/>
      <c r="L705" s="10"/>
      <c r="M705" s="10"/>
      <c r="N705" s="10"/>
      <c r="O705" s="10"/>
      <c r="P705" s="10"/>
      <c r="Q705" s="10"/>
      <c r="R705" s="10"/>
    </row>
    <row r="706">
      <c r="C706" s="10"/>
      <c r="E706" s="10"/>
      <c r="G706" s="82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>
      <c r="C707" s="10"/>
      <c r="E707" s="10"/>
      <c r="G707" s="82"/>
      <c r="I707" s="10"/>
      <c r="J707" s="10"/>
      <c r="K707" s="10"/>
      <c r="L707" s="10"/>
      <c r="M707" s="10"/>
      <c r="N707" s="10"/>
      <c r="O707" s="10"/>
      <c r="P707" s="10"/>
      <c r="Q707" s="10"/>
      <c r="R707" s="10"/>
    </row>
    <row r="708">
      <c r="C708" s="10"/>
      <c r="E708" s="10"/>
      <c r="G708" s="82"/>
      <c r="I708" s="10"/>
      <c r="J708" s="10"/>
      <c r="K708" s="10"/>
      <c r="L708" s="10"/>
      <c r="M708" s="10"/>
      <c r="N708" s="10"/>
      <c r="O708" s="10"/>
      <c r="P708" s="10"/>
      <c r="Q708" s="10"/>
      <c r="R708" s="10"/>
    </row>
    <row r="709">
      <c r="C709" s="10"/>
      <c r="E709" s="10"/>
      <c r="G709" s="82"/>
      <c r="I709" s="10"/>
      <c r="J709" s="10"/>
      <c r="K709" s="10"/>
      <c r="L709" s="10"/>
      <c r="M709" s="10"/>
      <c r="N709" s="10"/>
      <c r="O709" s="10"/>
      <c r="P709" s="10"/>
      <c r="Q709" s="10"/>
      <c r="R709" s="10"/>
    </row>
    <row r="710">
      <c r="C710" s="10"/>
      <c r="E710" s="10"/>
      <c r="G710" s="82"/>
      <c r="I710" s="10"/>
      <c r="J710" s="10"/>
      <c r="K710" s="10"/>
      <c r="L710" s="10"/>
      <c r="M710" s="10"/>
      <c r="N710" s="10"/>
      <c r="O710" s="10"/>
      <c r="P710" s="10"/>
      <c r="Q710" s="10"/>
      <c r="R710" s="10"/>
    </row>
    <row r="711">
      <c r="C711" s="10"/>
      <c r="E711" s="10"/>
      <c r="G711" s="82"/>
      <c r="I711" s="10"/>
      <c r="J711" s="10"/>
      <c r="K711" s="10"/>
      <c r="L711" s="10"/>
      <c r="M711" s="10"/>
      <c r="N711" s="10"/>
      <c r="O711" s="10"/>
      <c r="P711" s="10"/>
      <c r="Q711" s="10"/>
      <c r="R711" s="10"/>
    </row>
    <row r="712">
      <c r="C712" s="10"/>
      <c r="E712" s="10"/>
      <c r="G712" s="82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>
      <c r="C713" s="10"/>
      <c r="E713" s="10"/>
      <c r="G713" s="82"/>
      <c r="I713" s="10"/>
      <c r="J713" s="10"/>
      <c r="K713" s="10"/>
      <c r="L713" s="10"/>
      <c r="M713" s="10"/>
      <c r="N713" s="10"/>
      <c r="O713" s="10"/>
      <c r="P713" s="10"/>
      <c r="Q713" s="10"/>
      <c r="R713" s="10"/>
    </row>
    <row r="714">
      <c r="C714" s="10"/>
      <c r="E714" s="10"/>
      <c r="G714" s="82"/>
      <c r="I714" s="10"/>
      <c r="J714" s="10"/>
      <c r="K714" s="10"/>
      <c r="L714" s="10"/>
      <c r="M714" s="10"/>
      <c r="N714" s="10"/>
      <c r="O714" s="10"/>
      <c r="P714" s="10"/>
      <c r="Q714" s="10"/>
      <c r="R714" s="10"/>
    </row>
    <row r="715">
      <c r="C715" s="10"/>
      <c r="E715" s="10"/>
      <c r="G715" s="82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>
      <c r="C716" s="10"/>
      <c r="E716" s="10"/>
      <c r="G716" s="82"/>
      <c r="I716" s="10"/>
      <c r="J716" s="10"/>
      <c r="K716" s="10"/>
      <c r="L716" s="10"/>
      <c r="M716" s="10"/>
      <c r="N716" s="10"/>
      <c r="O716" s="10"/>
      <c r="P716" s="10"/>
      <c r="Q716" s="10"/>
      <c r="R716" s="10"/>
    </row>
    <row r="717">
      <c r="C717" s="10"/>
      <c r="E717" s="10"/>
      <c r="G717" s="82"/>
      <c r="I717" s="10"/>
      <c r="J717" s="10"/>
      <c r="K717" s="10"/>
      <c r="L717" s="10"/>
      <c r="M717" s="10"/>
      <c r="N717" s="10"/>
      <c r="O717" s="10"/>
      <c r="P717" s="10"/>
      <c r="Q717" s="10"/>
      <c r="R717" s="10"/>
    </row>
    <row r="718">
      <c r="C718" s="10"/>
      <c r="E718" s="10"/>
      <c r="G718" s="82"/>
      <c r="I718" s="10"/>
      <c r="J718" s="10"/>
      <c r="K718" s="10"/>
      <c r="L718" s="10"/>
      <c r="M718" s="10"/>
      <c r="N718" s="10"/>
      <c r="O718" s="10"/>
      <c r="P718" s="10"/>
      <c r="Q718" s="10"/>
      <c r="R718" s="10"/>
    </row>
    <row r="719">
      <c r="C719" s="10"/>
      <c r="E719" s="10"/>
      <c r="G719" s="82"/>
      <c r="I719" s="10"/>
      <c r="J719" s="10"/>
      <c r="K719" s="10"/>
      <c r="L719" s="10"/>
      <c r="M719" s="10"/>
      <c r="N719" s="10"/>
      <c r="O719" s="10"/>
      <c r="P719" s="10"/>
      <c r="Q719" s="10"/>
      <c r="R719" s="10"/>
    </row>
    <row r="720">
      <c r="C720" s="10"/>
      <c r="E720" s="10"/>
      <c r="G720" s="82"/>
      <c r="I720" s="10"/>
      <c r="J720" s="10"/>
      <c r="K720" s="10"/>
      <c r="L720" s="10"/>
      <c r="M720" s="10"/>
      <c r="N720" s="10"/>
      <c r="O720" s="10"/>
      <c r="P720" s="10"/>
      <c r="Q720" s="10"/>
      <c r="R720" s="10"/>
    </row>
    <row r="721">
      <c r="C721" s="10"/>
      <c r="E721" s="10"/>
      <c r="G721" s="82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>
      <c r="C722" s="10"/>
      <c r="E722" s="10"/>
      <c r="G722" s="82"/>
      <c r="I722" s="10"/>
      <c r="J722" s="10"/>
      <c r="K722" s="10"/>
      <c r="L722" s="10"/>
      <c r="M722" s="10"/>
      <c r="N722" s="10"/>
      <c r="O722" s="10"/>
      <c r="P722" s="10"/>
      <c r="Q722" s="10"/>
      <c r="R722" s="10"/>
    </row>
    <row r="723">
      <c r="C723" s="10"/>
      <c r="E723" s="10"/>
      <c r="G723" s="82"/>
      <c r="I723" s="10"/>
      <c r="J723" s="10"/>
      <c r="K723" s="10"/>
      <c r="L723" s="10"/>
      <c r="M723" s="10"/>
      <c r="N723" s="10"/>
      <c r="O723" s="10"/>
      <c r="P723" s="10"/>
      <c r="Q723" s="10"/>
      <c r="R723" s="10"/>
    </row>
    <row r="724">
      <c r="C724" s="10"/>
      <c r="E724" s="10"/>
      <c r="G724" s="82"/>
      <c r="I724" s="10"/>
      <c r="J724" s="10"/>
      <c r="K724" s="10"/>
      <c r="L724" s="10"/>
      <c r="M724" s="10"/>
      <c r="N724" s="10"/>
      <c r="O724" s="10"/>
      <c r="P724" s="10"/>
      <c r="Q724" s="10"/>
      <c r="R724" s="10"/>
    </row>
    <row r="725">
      <c r="C725" s="10"/>
      <c r="E725" s="10"/>
      <c r="G725" s="82"/>
      <c r="I725" s="10"/>
      <c r="J725" s="10"/>
      <c r="K725" s="10"/>
      <c r="L725" s="10"/>
      <c r="M725" s="10"/>
      <c r="N725" s="10"/>
      <c r="O725" s="10"/>
      <c r="P725" s="10"/>
      <c r="Q725" s="10"/>
      <c r="R725" s="10"/>
    </row>
    <row r="726">
      <c r="C726" s="10"/>
      <c r="E726" s="10"/>
      <c r="G726" s="82"/>
      <c r="I726" s="10"/>
      <c r="J726" s="10"/>
      <c r="K726" s="10"/>
      <c r="L726" s="10"/>
      <c r="M726" s="10"/>
      <c r="N726" s="10"/>
      <c r="O726" s="10"/>
      <c r="P726" s="10"/>
      <c r="Q726" s="10"/>
      <c r="R726" s="10"/>
    </row>
    <row r="727">
      <c r="C727" s="10"/>
      <c r="E727" s="10"/>
      <c r="G727" s="82"/>
      <c r="I727" s="10"/>
      <c r="J727" s="10"/>
      <c r="K727" s="10"/>
      <c r="L727" s="10"/>
      <c r="M727" s="10"/>
      <c r="N727" s="10"/>
      <c r="O727" s="10"/>
      <c r="P727" s="10"/>
      <c r="Q727" s="10"/>
      <c r="R727" s="10"/>
    </row>
    <row r="728">
      <c r="C728" s="10"/>
      <c r="E728" s="10"/>
      <c r="G728" s="82"/>
      <c r="I728" s="10"/>
      <c r="J728" s="10"/>
      <c r="K728" s="10"/>
      <c r="L728" s="10"/>
      <c r="M728" s="10"/>
      <c r="N728" s="10"/>
      <c r="O728" s="10"/>
      <c r="P728" s="10"/>
      <c r="Q728" s="10"/>
      <c r="R728" s="10"/>
    </row>
    <row r="729">
      <c r="C729" s="10"/>
      <c r="E729" s="10"/>
      <c r="G729" s="82"/>
      <c r="I729" s="10"/>
      <c r="J729" s="10"/>
      <c r="K729" s="10"/>
      <c r="L729" s="10"/>
      <c r="M729" s="10"/>
      <c r="N729" s="10"/>
      <c r="O729" s="10"/>
      <c r="P729" s="10"/>
      <c r="Q729" s="10"/>
      <c r="R729" s="10"/>
    </row>
    <row r="730">
      <c r="C730" s="10"/>
      <c r="E730" s="10"/>
      <c r="G730" s="82"/>
      <c r="I730" s="10"/>
      <c r="J730" s="10"/>
      <c r="K730" s="10"/>
      <c r="L730" s="10"/>
      <c r="M730" s="10"/>
      <c r="N730" s="10"/>
      <c r="O730" s="10"/>
      <c r="P730" s="10"/>
      <c r="Q730" s="10"/>
      <c r="R730" s="10"/>
    </row>
    <row r="731">
      <c r="C731" s="10"/>
      <c r="E731" s="10"/>
      <c r="G731" s="82"/>
      <c r="I731" s="10"/>
      <c r="J731" s="10"/>
      <c r="K731" s="10"/>
      <c r="L731" s="10"/>
      <c r="M731" s="10"/>
      <c r="N731" s="10"/>
      <c r="O731" s="10"/>
      <c r="P731" s="10"/>
      <c r="Q731" s="10"/>
      <c r="R731" s="10"/>
    </row>
    <row r="732">
      <c r="C732" s="10"/>
      <c r="E732" s="10"/>
      <c r="G732" s="82"/>
      <c r="I732" s="10"/>
      <c r="J732" s="10"/>
      <c r="K732" s="10"/>
      <c r="L732" s="10"/>
      <c r="M732" s="10"/>
      <c r="N732" s="10"/>
      <c r="O732" s="10"/>
      <c r="P732" s="10"/>
      <c r="Q732" s="10"/>
      <c r="R732" s="10"/>
    </row>
    <row r="733">
      <c r="C733" s="10"/>
      <c r="E733" s="10"/>
      <c r="G733" s="82"/>
      <c r="I733" s="10"/>
      <c r="J733" s="10"/>
      <c r="K733" s="10"/>
      <c r="L733" s="10"/>
      <c r="M733" s="10"/>
      <c r="N733" s="10"/>
      <c r="O733" s="10"/>
      <c r="P733" s="10"/>
      <c r="Q733" s="10"/>
      <c r="R733" s="10"/>
    </row>
    <row r="734">
      <c r="C734" s="10"/>
      <c r="E734" s="10"/>
      <c r="G734" s="82"/>
      <c r="I734" s="10"/>
      <c r="J734" s="10"/>
      <c r="K734" s="10"/>
      <c r="L734" s="10"/>
      <c r="M734" s="10"/>
      <c r="N734" s="10"/>
      <c r="O734" s="10"/>
      <c r="P734" s="10"/>
      <c r="Q734" s="10"/>
      <c r="R734" s="10"/>
    </row>
    <row r="735">
      <c r="C735" s="10"/>
      <c r="E735" s="10"/>
      <c r="G735" s="82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>
      <c r="C736" s="10"/>
      <c r="E736" s="10"/>
      <c r="G736" s="82"/>
      <c r="I736" s="10"/>
      <c r="J736" s="10"/>
      <c r="K736" s="10"/>
      <c r="L736" s="10"/>
      <c r="M736" s="10"/>
      <c r="N736" s="10"/>
      <c r="O736" s="10"/>
      <c r="P736" s="10"/>
      <c r="Q736" s="10"/>
      <c r="R736" s="10"/>
    </row>
    <row r="737">
      <c r="C737" s="10"/>
      <c r="E737" s="10"/>
      <c r="G737" s="82"/>
      <c r="I737" s="10"/>
      <c r="J737" s="10"/>
      <c r="K737" s="10"/>
      <c r="L737" s="10"/>
      <c r="M737" s="10"/>
      <c r="N737" s="10"/>
      <c r="O737" s="10"/>
      <c r="P737" s="10"/>
      <c r="Q737" s="10"/>
      <c r="R737" s="10"/>
    </row>
    <row r="738">
      <c r="C738" s="10"/>
      <c r="E738" s="10"/>
      <c r="G738" s="82"/>
      <c r="I738" s="10"/>
      <c r="J738" s="10"/>
      <c r="K738" s="10"/>
      <c r="L738" s="10"/>
      <c r="M738" s="10"/>
      <c r="N738" s="10"/>
      <c r="O738" s="10"/>
      <c r="P738" s="10"/>
      <c r="Q738" s="10"/>
      <c r="R738" s="10"/>
    </row>
    <row r="739">
      <c r="C739" s="10"/>
      <c r="E739" s="10"/>
      <c r="G739" s="82"/>
      <c r="I739" s="10"/>
      <c r="J739" s="10"/>
      <c r="K739" s="10"/>
      <c r="L739" s="10"/>
      <c r="M739" s="10"/>
      <c r="N739" s="10"/>
      <c r="O739" s="10"/>
      <c r="P739" s="10"/>
      <c r="Q739" s="10"/>
      <c r="R739" s="10"/>
    </row>
    <row r="740">
      <c r="C740" s="10"/>
      <c r="E740" s="10"/>
      <c r="G740" s="82"/>
      <c r="I740" s="10"/>
      <c r="J740" s="10"/>
      <c r="K740" s="10"/>
      <c r="L740" s="10"/>
      <c r="M740" s="10"/>
      <c r="N740" s="10"/>
      <c r="O740" s="10"/>
      <c r="P740" s="10"/>
      <c r="Q740" s="10"/>
      <c r="R740" s="10"/>
    </row>
    <row r="741">
      <c r="C741" s="10"/>
      <c r="E741" s="10"/>
      <c r="G741" s="82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>
      <c r="C742" s="10"/>
      <c r="E742" s="10"/>
      <c r="G742" s="82"/>
      <c r="I742" s="10"/>
      <c r="J742" s="10"/>
      <c r="K742" s="10"/>
      <c r="L742" s="10"/>
      <c r="M742" s="10"/>
      <c r="N742" s="10"/>
      <c r="O742" s="10"/>
      <c r="P742" s="10"/>
      <c r="Q742" s="10"/>
      <c r="R742" s="10"/>
    </row>
    <row r="743">
      <c r="C743" s="10"/>
      <c r="E743" s="10"/>
      <c r="G743" s="82"/>
      <c r="I743" s="10"/>
      <c r="J743" s="10"/>
      <c r="K743" s="10"/>
      <c r="L743" s="10"/>
      <c r="M743" s="10"/>
      <c r="N743" s="10"/>
      <c r="O743" s="10"/>
      <c r="P743" s="10"/>
      <c r="Q743" s="10"/>
      <c r="R743" s="10"/>
    </row>
    <row r="744">
      <c r="C744" s="10"/>
      <c r="E744" s="10"/>
      <c r="G744" s="82"/>
      <c r="I744" s="10"/>
      <c r="J744" s="10"/>
      <c r="K744" s="10"/>
      <c r="L744" s="10"/>
      <c r="M744" s="10"/>
      <c r="N744" s="10"/>
      <c r="O744" s="10"/>
      <c r="P744" s="10"/>
      <c r="Q744" s="10"/>
      <c r="R744" s="10"/>
    </row>
    <row r="745">
      <c r="C745" s="10"/>
      <c r="E745" s="10"/>
      <c r="G745" s="82"/>
      <c r="I745" s="10"/>
      <c r="J745" s="10"/>
      <c r="K745" s="10"/>
      <c r="L745" s="10"/>
      <c r="M745" s="10"/>
      <c r="N745" s="10"/>
      <c r="O745" s="10"/>
      <c r="P745" s="10"/>
      <c r="Q745" s="10"/>
      <c r="R745" s="10"/>
    </row>
    <row r="746">
      <c r="C746" s="10"/>
      <c r="E746" s="10"/>
      <c r="G746" s="82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>
      <c r="C747" s="10"/>
      <c r="E747" s="10"/>
      <c r="G747" s="82"/>
      <c r="I747" s="10"/>
      <c r="J747" s="10"/>
      <c r="K747" s="10"/>
      <c r="L747" s="10"/>
      <c r="M747" s="10"/>
      <c r="N747" s="10"/>
      <c r="O747" s="10"/>
      <c r="P747" s="10"/>
      <c r="Q747" s="10"/>
      <c r="R747" s="10"/>
    </row>
    <row r="748">
      <c r="C748" s="10"/>
      <c r="E748" s="10"/>
      <c r="G748" s="82"/>
      <c r="I748" s="10"/>
      <c r="J748" s="10"/>
      <c r="K748" s="10"/>
      <c r="L748" s="10"/>
      <c r="M748" s="10"/>
      <c r="N748" s="10"/>
      <c r="O748" s="10"/>
      <c r="P748" s="10"/>
      <c r="Q748" s="10"/>
      <c r="R748" s="10"/>
    </row>
    <row r="749">
      <c r="C749" s="10"/>
      <c r="E749" s="10"/>
      <c r="G749" s="82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>
      <c r="C750" s="10"/>
      <c r="E750" s="10"/>
      <c r="G750" s="82"/>
      <c r="I750" s="10"/>
      <c r="J750" s="10"/>
      <c r="K750" s="10"/>
      <c r="L750" s="10"/>
      <c r="M750" s="10"/>
      <c r="N750" s="10"/>
      <c r="O750" s="10"/>
      <c r="P750" s="10"/>
      <c r="Q750" s="10"/>
      <c r="R750" s="10"/>
    </row>
    <row r="751">
      <c r="C751" s="10"/>
      <c r="E751" s="10"/>
      <c r="G751" s="82"/>
      <c r="I751" s="10"/>
      <c r="J751" s="10"/>
      <c r="K751" s="10"/>
      <c r="L751" s="10"/>
      <c r="M751" s="10"/>
      <c r="N751" s="10"/>
      <c r="O751" s="10"/>
      <c r="P751" s="10"/>
      <c r="Q751" s="10"/>
      <c r="R751" s="10"/>
    </row>
    <row r="752">
      <c r="C752" s="10"/>
      <c r="E752" s="10"/>
      <c r="G752" s="82"/>
      <c r="I752" s="10"/>
      <c r="J752" s="10"/>
      <c r="K752" s="10"/>
      <c r="L752" s="10"/>
      <c r="M752" s="10"/>
      <c r="N752" s="10"/>
      <c r="O752" s="10"/>
      <c r="P752" s="10"/>
      <c r="Q752" s="10"/>
      <c r="R752" s="10"/>
    </row>
    <row r="753">
      <c r="C753" s="10"/>
      <c r="E753" s="10"/>
      <c r="G753" s="82"/>
      <c r="I753" s="10"/>
      <c r="J753" s="10"/>
      <c r="K753" s="10"/>
      <c r="L753" s="10"/>
      <c r="M753" s="10"/>
      <c r="N753" s="10"/>
      <c r="O753" s="10"/>
      <c r="P753" s="10"/>
      <c r="Q753" s="10"/>
      <c r="R753" s="10"/>
    </row>
    <row r="754">
      <c r="C754" s="10"/>
      <c r="E754" s="10"/>
      <c r="G754" s="82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>
      <c r="C755" s="10"/>
      <c r="E755" s="10"/>
      <c r="G755" s="82"/>
      <c r="I755" s="10"/>
      <c r="J755" s="10"/>
      <c r="K755" s="10"/>
      <c r="L755" s="10"/>
      <c r="M755" s="10"/>
      <c r="N755" s="10"/>
      <c r="O755" s="10"/>
      <c r="P755" s="10"/>
      <c r="Q755" s="10"/>
      <c r="R755" s="10"/>
    </row>
    <row r="756">
      <c r="C756" s="10"/>
      <c r="E756" s="10"/>
      <c r="G756" s="82"/>
      <c r="I756" s="10"/>
      <c r="J756" s="10"/>
      <c r="K756" s="10"/>
      <c r="L756" s="10"/>
      <c r="M756" s="10"/>
      <c r="N756" s="10"/>
      <c r="O756" s="10"/>
      <c r="P756" s="10"/>
      <c r="Q756" s="10"/>
      <c r="R756" s="10"/>
    </row>
    <row r="757">
      <c r="C757" s="10"/>
      <c r="E757" s="10"/>
      <c r="G757" s="82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>
      <c r="C758" s="10"/>
      <c r="E758" s="10"/>
      <c r="G758" s="82"/>
      <c r="I758" s="10"/>
      <c r="J758" s="10"/>
      <c r="K758" s="10"/>
      <c r="L758" s="10"/>
      <c r="M758" s="10"/>
      <c r="N758" s="10"/>
      <c r="O758" s="10"/>
      <c r="P758" s="10"/>
      <c r="Q758" s="10"/>
      <c r="R758" s="10"/>
    </row>
    <row r="759">
      <c r="C759" s="10"/>
      <c r="E759" s="10"/>
      <c r="G759" s="82"/>
      <c r="I759" s="10"/>
      <c r="J759" s="10"/>
      <c r="K759" s="10"/>
      <c r="L759" s="10"/>
      <c r="M759" s="10"/>
      <c r="N759" s="10"/>
      <c r="O759" s="10"/>
      <c r="P759" s="10"/>
      <c r="Q759" s="10"/>
      <c r="R759" s="10"/>
    </row>
    <row r="760">
      <c r="C760" s="10"/>
      <c r="E760" s="10"/>
      <c r="G760" s="82"/>
      <c r="I760" s="10"/>
      <c r="J760" s="10"/>
      <c r="K760" s="10"/>
      <c r="L760" s="10"/>
      <c r="M760" s="10"/>
      <c r="N760" s="10"/>
      <c r="O760" s="10"/>
      <c r="P760" s="10"/>
      <c r="Q760" s="10"/>
      <c r="R760" s="10"/>
    </row>
    <row r="761">
      <c r="C761" s="10"/>
      <c r="E761" s="10"/>
      <c r="G761" s="82"/>
      <c r="I761" s="10"/>
      <c r="J761" s="10"/>
      <c r="K761" s="10"/>
      <c r="L761" s="10"/>
      <c r="M761" s="10"/>
      <c r="N761" s="10"/>
      <c r="O761" s="10"/>
      <c r="P761" s="10"/>
      <c r="Q761" s="10"/>
      <c r="R761" s="10"/>
    </row>
    <row r="762">
      <c r="C762" s="10"/>
      <c r="E762" s="10"/>
      <c r="G762" s="82"/>
      <c r="I762" s="10"/>
      <c r="J762" s="10"/>
      <c r="K762" s="10"/>
      <c r="L762" s="10"/>
      <c r="M762" s="10"/>
      <c r="N762" s="10"/>
      <c r="O762" s="10"/>
      <c r="P762" s="10"/>
      <c r="Q762" s="10"/>
      <c r="R762" s="10"/>
    </row>
    <row r="763">
      <c r="C763" s="10"/>
      <c r="E763" s="10"/>
      <c r="G763" s="82"/>
      <c r="I763" s="10"/>
      <c r="J763" s="10"/>
      <c r="K763" s="10"/>
      <c r="L763" s="10"/>
      <c r="M763" s="10"/>
      <c r="N763" s="10"/>
      <c r="O763" s="10"/>
      <c r="P763" s="10"/>
      <c r="Q763" s="10"/>
      <c r="R763" s="10"/>
    </row>
    <row r="764">
      <c r="C764" s="10"/>
      <c r="E764" s="10"/>
      <c r="G764" s="82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>
      <c r="C765" s="10"/>
      <c r="E765" s="10"/>
      <c r="G765" s="82"/>
      <c r="I765" s="10"/>
      <c r="J765" s="10"/>
      <c r="K765" s="10"/>
      <c r="L765" s="10"/>
      <c r="M765" s="10"/>
      <c r="N765" s="10"/>
      <c r="O765" s="10"/>
      <c r="P765" s="10"/>
      <c r="Q765" s="10"/>
      <c r="R765" s="10"/>
    </row>
    <row r="766">
      <c r="C766" s="10"/>
      <c r="E766" s="10"/>
      <c r="G766" s="82"/>
      <c r="I766" s="10"/>
      <c r="J766" s="10"/>
      <c r="K766" s="10"/>
      <c r="L766" s="10"/>
      <c r="M766" s="10"/>
      <c r="N766" s="10"/>
      <c r="O766" s="10"/>
      <c r="P766" s="10"/>
      <c r="Q766" s="10"/>
      <c r="R766" s="10"/>
    </row>
    <row r="767">
      <c r="C767" s="10"/>
      <c r="E767" s="10"/>
      <c r="G767" s="82"/>
      <c r="I767" s="10"/>
      <c r="J767" s="10"/>
      <c r="K767" s="10"/>
      <c r="L767" s="10"/>
      <c r="M767" s="10"/>
      <c r="N767" s="10"/>
      <c r="O767" s="10"/>
      <c r="P767" s="10"/>
      <c r="Q767" s="10"/>
      <c r="R767" s="10"/>
    </row>
    <row r="768">
      <c r="C768" s="10"/>
      <c r="E768" s="10"/>
      <c r="G768" s="82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>
      <c r="C769" s="10"/>
      <c r="E769" s="10"/>
      <c r="G769" s="82"/>
      <c r="I769" s="10"/>
      <c r="J769" s="10"/>
      <c r="K769" s="10"/>
      <c r="L769" s="10"/>
      <c r="M769" s="10"/>
      <c r="N769" s="10"/>
      <c r="O769" s="10"/>
      <c r="P769" s="10"/>
      <c r="Q769" s="10"/>
      <c r="R769" s="10"/>
    </row>
    <row r="770">
      <c r="C770" s="10"/>
      <c r="E770" s="10"/>
      <c r="G770" s="82"/>
      <c r="I770" s="10"/>
      <c r="J770" s="10"/>
      <c r="K770" s="10"/>
      <c r="L770" s="10"/>
      <c r="M770" s="10"/>
      <c r="N770" s="10"/>
      <c r="O770" s="10"/>
      <c r="P770" s="10"/>
      <c r="Q770" s="10"/>
      <c r="R770" s="10"/>
    </row>
    <row r="771">
      <c r="C771" s="10"/>
      <c r="E771" s="10"/>
      <c r="G771" s="82"/>
      <c r="I771" s="10"/>
      <c r="J771" s="10"/>
      <c r="K771" s="10"/>
      <c r="L771" s="10"/>
      <c r="M771" s="10"/>
      <c r="N771" s="10"/>
      <c r="O771" s="10"/>
      <c r="P771" s="10"/>
      <c r="Q771" s="10"/>
      <c r="R771" s="10"/>
    </row>
    <row r="772">
      <c r="C772" s="10"/>
      <c r="E772" s="10"/>
      <c r="G772" s="82"/>
      <c r="I772" s="10"/>
      <c r="J772" s="10"/>
      <c r="K772" s="10"/>
      <c r="L772" s="10"/>
      <c r="M772" s="10"/>
      <c r="N772" s="10"/>
      <c r="O772" s="10"/>
      <c r="P772" s="10"/>
      <c r="Q772" s="10"/>
      <c r="R772" s="10"/>
    </row>
    <row r="773">
      <c r="C773" s="10"/>
      <c r="E773" s="10"/>
      <c r="G773" s="82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>
      <c r="C774" s="10"/>
      <c r="E774" s="10"/>
      <c r="G774" s="82"/>
      <c r="I774" s="10"/>
      <c r="J774" s="10"/>
      <c r="K774" s="10"/>
      <c r="L774" s="10"/>
      <c r="M774" s="10"/>
      <c r="N774" s="10"/>
      <c r="O774" s="10"/>
      <c r="P774" s="10"/>
      <c r="Q774" s="10"/>
      <c r="R774" s="10"/>
    </row>
    <row r="775">
      <c r="C775" s="10"/>
      <c r="E775" s="10"/>
      <c r="G775" s="82"/>
      <c r="I775" s="10"/>
      <c r="J775" s="10"/>
      <c r="K775" s="10"/>
      <c r="L775" s="10"/>
      <c r="M775" s="10"/>
      <c r="N775" s="10"/>
      <c r="O775" s="10"/>
      <c r="P775" s="10"/>
      <c r="Q775" s="10"/>
      <c r="R775" s="10"/>
    </row>
    <row r="776">
      <c r="C776" s="10"/>
      <c r="E776" s="10"/>
      <c r="G776" s="82"/>
      <c r="I776" s="10"/>
      <c r="J776" s="10"/>
      <c r="K776" s="10"/>
      <c r="L776" s="10"/>
      <c r="M776" s="10"/>
      <c r="N776" s="10"/>
      <c r="O776" s="10"/>
      <c r="P776" s="10"/>
      <c r="Q776" s="10"/>
      <c r="R776" s="10"/>
    </row>
    <row r="777">
      <c r="C777" s="10"/>
      <c r="E777" s="10"/>
      <c r="G777" s="82"/>
      <c r="I777" s="10"/>
      <c r="J777" s="10"/>
      <c r="K777" s="10"/>
      <c r="L777" s="10"/>
      <c r="M777" s="10"/>
      <c r="N777" s="10"/>
      <c r="O777" s="10"/>
      <c r="P777" s="10"/>
      <c r="Q777" s="10"/>
      <c r="R777" s="10"/>
    </row>
    <row r="778">
      <c r="C778" s="10"/>
      <c r="E778" s="10"/>
      <c r="G778" s="82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>
      <c r="C779" s="10"/>
      <c r="E779" s="10"/>
      <c r="G779" s="82"/>
      <c r="I779" s="10"/>
      <c r="J779" s="10"/>
      <c r="K779" s="10"/>
      <c r="L779" s="10"/>
      <c r="M779" s="10"/>
      <c r="N779" s="10"/>
      <c r="O779" s="10"/>
      <c r="P779" s="10"/>
      <c r="Q779" s="10"/>
      <c r="R779" s="10"/>
    </row>
    <row r="780">
      <c r="C780" s="10"/>
      <c r="E780" s="10"/>
      <c r="G780" s="82"/>
      <c r="I780" s="10"/>
      <c r="J780" s="10"/>
      <c r="K780" s="10"/>
      <c r="L780" s="10"/>
      <c r="M780" s="10"/>
      <c r="N780" s="10"/>
      <c r="O780" s="10"/>
      <c r="P780" s="10"/>
      <c r="Q780" s="10"/>
      <c r="R780" s="10"/>
    </row>
    <row r="781">
      <c r="C781" s="10"/>
      <c r="E781" s="10"/>
      <c r="G781" s="82"/>
      <c r="I781" s="10"/>
      <c r="J781" s="10"/>
      <c r="K781" s="10"/>
      <c r="L781" s="10"/>
      <c r="M781" s="10"/>
      <c r="N781" s="10"/>
      <c r="O781" s="10"/>
      <c r="P781" s="10"/>
      <c r="Q781" s="10"/>
      <c r="R781" s="10"/>
    </row>
    <row r="782">
      <c r="C782" s="10"/>
      <c r="E782" s="10"/>
      <c r="G782" s="82"/>
      <c r="I782" s="10"/>
      <c r="J782" s="10"/>
      <c r="K782" s="10"/>
      <c r="L782" s="10"/>
      <c r="M782" s="10"/>
      <c r="N782" s="10"/>
      <c r="O782" s="10"/>
      <c r="P782" s="10"/>
      <c r="Q782" s="10"/>
      <c r="R782" s="10"/>
    </row>
    <row r="783">
      <c r="C783" s="10"/>
      <c r="E783" s="10"/>
      <c r="G783" s="82"/>
      <c r="I783" s="10"/>
      <c r="J783" s="10"/>
      <c r="K783" s="10"/>
      <c r="L783" s="10"/>
      <c r="M783" s="10"/>
      <c r="N783" s="10"/>
      <c r="O783" s="10"/>
      <c r="P783" s="10"/>
      <c r="Q783" s="10"/>
      <c r="R783" s="10"/>
    </row>
    <row r="784">
      <c r="C784" s="10"/>
      <c r="E784" s="10"/>
      <c r="G784" s="82"/>
      <c r="I784" s="10"/>
      <c r="J784" s="10"/>
      <c r="K784" s="10"/>
      <c r="L784" s="10"/>
      <c r="M784" s="10"/>
      <c r="N784" s="10"/>
      <c r="O784" s="10"/>
      <c r="P784" s="10"/>
      <c r="Q784" s="10"/>
      <c r="R784" s="10"/>
    </row>
    <row r="785">
      <c r="C785" s="10"/>
      <c r="E785" s="10"/>
      <c r="G785" s="82"/>
      <c r="I785" s="10"/>
      <c r="J785" s="10"/>
      <c r="K785" s="10"/>
      <c r="L785" s="10"/>
      <c r="M785" s="10"/>
      <c r="N785" s="10"/>
      <c r="O785" s="10"/>
      <c r="P785" s="10"/>
      <c r="Q785" s="10"/>
      <c r="R785" s="10"/>
    </row>
    <row r="786">
      <c r="C786" s="10"/>
      <c r="E786" s="10"/>
      <c r="G786" s="82"/>
      <c r="I786" s="10"/>
      <c r="J786" s="10"/>
      <c r="K786" s="10"/>
      <c r="L786" s="10"/>
      <c r="M786" s="10"/>
      <c r="N786" s="10"/>
      <c r="O786" s="10"/>
      <c r="P786" s="10"/>
      <c r="Q786" s="10"/>
      <c r="R786" s="10"/>
    </row>
    <row r="787">
      <c r="C787" s="10"/>
      <c r="E787" s="10"/>
      <c r="G787" s="82"/>
      <c r="I787" s="10"/>
      <c r="J787" s="10"/>
      <c r="K787" s="10"/>
      <c r="L787" s="10"/>
      <c r="M787" s="10"/>
      <c r="N787" s="10"/>
      <c r="O787" s="10"/>
      <c r="P787" s="10"/>
      <c r="Q787" s="10"/>
      <c r="R787" s="10"/>
    </row>
    <row r="788">
      <c r="C788" s="10"/>
      <c r="E788" s="10"/>
      <c r="G788" s="82"/>
      <c r="I788" s="10"/>
      <c r="J788" s="10"/>
      <c r="K788" s="10"/>
      <c r="L788" s="10"/>
      <c r="M788" s="10"/>
      <c r="N788" s="10"/>
      <c r="O788" s="10"/>
      <c r="P788" s="10"/>
      <c r="Q788" s="10"/>
      <c r="R788" s="10"/>
    </row>
    <row r="789">
      <c r="C789" s="10"/>
      <c r="E789" s="10"/>
      <c r="G789" s="82"/>
      <c r="I789" s="10"/>
      <c r="J789" s="10"/>
      <c r="K789" s="10"/>
      <c r="L789" s="10"/>
      <c r="M789" s="10"/>
      <c r="N789" s="10"/>
      <c r="O789" s="10"/>
      <c r="P789" s="10"/>
      <c r="Q789" s="10"/>
      <c r="R789" s="10"/>
    </row>
    <row r="790">
      <c r="C790" s="10"/>
      <c r="E790" s="10"/>
      <c r="G790" s="82"/>
      <c r="I790" s="10"/>
      <c r="J790" s="10"/>
      <c r="K790" s="10"/>
      <c r="L790" s="10"/>
      <c r="M790" s="10"/>
      <c r="N790" s="10"/>
      <c r="O790" s="10"/>
      <c r="P790" s="10"/>
      <c r="Q790" s="10"/>
      <c r="R790" s="10"/>
    </row>
    <row r="791">
      <c r="C791" s="10"/>
      <c r="E791" s="10"/>
      <c r="G791" s="82"/>
      <c r="I791" s="10"/>
      <c r="J791" s="10"/>
      <c r="K791" s="10"/>
      <c r="L791" s="10"/>
      <c r="M791" s="10"/>
      <c r="N791" s="10"/>
      <c r="O791" s="10"/>
      <c r="P791" s="10"/>
      <c r="Q791" s="10"/>
      <c r="R791" s="10"/>
    </row>
    <row r="792">
      <c r="C792" s="10"/>
      <c r="E792" s="10"/>
      <c r="G792" s="82"/>
      <c r="I792" s="10"/>
      <c r="J792" s="10"/>
      <c r="K792" s="10"/>
      <c r="L792" s="10"/>
      <c r="M792" s="10"/>
      <c r="N792" s="10"/>
      <c r="O792" s="10"/>
      <c r="P792" s="10"/>
      <c r="Q792" s="10"/>
      <c r="R792" s="10"/>
    </row>
    <row r="793">
      <c r="C793" s="10"/>
      <c r="E793" s="10"/>
      <c r="G793" s="82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>
      <c r="C794" s="10"/>
      <c r="E794" s="10"/>
      <c r="G794" s="82"/>
      <c r="I794" s="10"/>
      <c r="J794" s="10"/>
      <c r="K794" s="10"/>
      <c r="L794" s="10"/>
      <c r="M794" s="10"/>
      <c r="N794" s="10"/>
      <c r="O794" s="10"/>
      <c r="P794" s="10"/>
      <c r="Q794" s="10"/>
      <c r="R794" s="10"/>
    </row>
    <row r="795">
      <c r="C795" s="10"/>
      <c r="E795" s="10"/>
      <c r="G795" s="82"/>
      <c r="I795" s="10"/>
      <c r="J795" s="10"/>
      <c r="K795" s="10"/>
      <c r="L795" s="10"/>
      <c r="M795" s="10"/>
      <c r="N795" s="10"/>
      <c r="O795" s="10"/>
      <c r="P795" s="10"/>
      <c r="Q795" s="10"/>
      <c r="R795" s="10"/>
    </row>
    <row r="796">
      <c r="C796" s="10"/>
      <c r="E796" s="10"/>
      <c r="G796" s="82"/>
      <c r="I796" s="10"/>
      <c r="J796" s="10"/>
      <c r="K796" s="10"/>
      <c r="L796" s="10"/>
      <c r="M796" s="10"/>
      <c r="N796" s="10"/>
      <c r="O796" s="10"/>
      <c r="P796" s="10"/>
      <c r="Q796" s="10"/>
      <c r="R796" s="10"/>
    </row>
    <row r="797">
      <c r="C797" s="10"/>
      <c r="E797" s="10"/>
      <c r="G797" s="82"/>
      <c r="I797" s="10"/>
      <c r="J797" s="10"/>
      <c r="K797" s="10"/>
      <c r="L797" s="10"/>
      <c r="M797" s="10"/>
      <c r="N797" s="10"/>
      <c r="O797" s="10"/>
      <c r="P797" s="10"/>
      <c r="Q797" s="10"/>
      <c r="R797" s="10"/>
    </row>
    <row r="798">
      <c r="C798" s="10"/>
      <c r="E798" s="10"/>
      <c r="G798" s="82"/>
      <c r="I798" s="10"/>
      <c r="J798" s="10"/>
      <c r="K798" s="10"/>
      <c r="L798" s="10"/>
      <c r="M798" s="10"/>
      <c r="N798" s="10"/>
      <c r="O798" s="10"/>
      <c r="P798" s="10"/>
      <c r="Q798" s="10"/>
      <c r="R798" s="10"/>
    </row>
    <row r="799">
      <c r="C799" s="10"/>
      <c r="E799" s="10"/>
      <c r="G799" s="82"/>
      <c r="I799" s="10"/>
      <c r="J799" s="10"/>
      <c r="K799" s="10"/>
      <c r="L799" s="10"/>
      <c r="M799" s="10"/>
      <c r="N799" s="10"/>
      <c r="O799" s="10"/>
      <c r="P799" s="10"/>
      <c r="Q799" s="10"/>
      <c r="R799" s="10"/>
    </row>
    <row r="800">
      <c r="C800" s="10"/>
      <c r="E800" s="10"/>
      <c r="G800" s="82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>
      <c r="C801" s="10"/>
      <c r="E801" s="10"/>
      <c r="G801" s="82"/>
      <c r="I801" s="10"/>
      <c r="J801" s="10"/>
      <c r="K801" s="10"/>
      <c r="L801" s="10"/>
      <c r="M801" s="10"/>
      <c r="N801" s="10"/>
      <c r="O801" s="10"/>
      <c r="P801" s="10"/>
      <c r="Q801" s="10"/>
      <c r="R801" s="10"/>
    </row>
    <row r="802">
      <c r="C802" s="10"/>
      <c r="E802" s="10"/>
      <c r="G802" s="82"/>
      <c r="I802" s="10"/>
      <c r="J802" s="10"/>
      <c r="K802" s="10"/>
      <c r="L802" s="10"/>
      <c r="M802" s="10"/>
      <c r="N802" s="10"/>
      <c r="O802" s="10"/>
      <c r="P802" s="10"/>
      <c r="Q802" s="10"/>
      <c r="R802" s="10"/>
    </row>
    <row r="803">
      <c r="C803" s="10"/>
      <c r="E803" s="10"/>
      <c r="G803" s="82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>
      <c r="C804" s="10"/>
      <c r="E804" s="10"/>
      <c r="G804" s="82"/>
      <c r="I804" s="10"/>
      <c r="J804" s="10"/>
      <c r="K804" s="10"/>
      <c r="L804" s="10"/>
      <c r="M804" s="10"/>
      <c r="N804" s="10"/>
      <c r="O804" s="10"/>
      <c r="P804" s="10"/>
      <c r="Q804" s="10"/>
      <c r="R804" s="10"/>
    </row>
    <row r="805">
      <c r="C805" s="10"/>
      <c r="E805" s="10"/>
      <c r="G805" s="82"/>
      <c r="I805" s="10"/>
      <c r="J805" s="10"/>
      <c r="K805" s="10"/>
      <c r="L805" s="10"/>
      <c r="M805" s="10"/>
      <c r="N805" s="10"/>
      <c r="O805" s="10"/>
      <c r="P805" s="10"/>
      <c r="Q805" s="10"/>
      <c r="R805" s="10"/>
    </row>
    <row r="806">
      <c r="C806" s="10"/>
      <c r="E806" s="10"/>
      <c r="G806" s="82"/>
      <c r="I806" s="10"/>
      <c r="J806" s="10"/>
      <c r="K806" s="10"/>
      <c r="L806" s="10"/>
      <c r="M806" s="10"/>
      <c r="N806" s="10"/>
      <c r="O806" s="10"/>
      <c r="P806" s="10"/>
      <c r="Q806" s="10"/>
      <c r="R806" s="10"/>
    </row>
    <row r="807">
      <c r="C807" s="10"/>
      <c r="E807" s="10"/>
      <c r="G807" s="82"/>
      <c r="I807" s="10"/>
      <c r="J807" s="10"/>
      <c r="K807" s="10"/>
      <c r="L807" s="10"/>
      <c r="M807" s="10"/>
      <c r="N807" s="10"/>
      <c r="O807" s="10"/>
      <c r="P807" s="10"/>
      <c r="Q807" s="10"/>
      <c r="R807" s="10"/>
    </row>
    <row r="808">
      <c r="C808" s="10"/>
      <c r="E808" s="10"/>
      <c r="G808" s="82"/>
      <c r="I808" s="10"/>
      <c r="J808" s="10"/>
      <c r="K808" s="10"/>
      <c r="L808" s="10"/>
      <c r="M808" s="10"/>
      <c r="N808" s="10"/>
      <c r="O808" s="10"/>
      <c r="P808" s="10"/>
      <c r="Q808" s="10"/>
      <c r="R808" s="10"/>
    </row>
    <row r="809">
      <c r="C809" s="10"/>
      <c r="E809" s="10"/>
      <c r="G809" s="82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>
      <c r="C810" s="10"/>
      <c r="E810" s="10"/>
      <c r="G810" s="82"/>
      <c r="I810" s="10"/>
      <c r="J810" s="10"/>
      <c r="K810" s="10"/>
      <c r="L810" s="10"/>
      <c r="M810" s="10"/>
      <c r="N810" s="10"/>
      <c r="O810" s="10"/>
      <c r="P810" s="10"/>
      <c r="Q810" s="10"/>
      <c r="R810" s="10"/>
    </row>
    <row r="811">
      <c r="C811" s="10"/>
      <c r="E811" s="10"/>
      <c r="G811" s="82"/>
      <c r="I811" s="10"/>
      <c r="J811" s="10"/>
      <c r="K811" s="10"/>
      <c r="L811" s="10"/>
      <c r="M811" s="10"/>
      <c r="N811" s="10"/>
      <c r="O811" s="10"/>
      <c r="P811" s="10"/>
      <c r="Q811" s="10"/>
      <c r="R811" s="10"/>
    </row>
    <row r="812">
      <c r="C812" s="10"/>
      <c r="E812" s="10"/>
      <c r="G812" s="82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>
      <c r="C813" s="10"/>
      <c r="E813" s="10"/>
      <c r="G813" s="82"/>
      <c r="I813" s="10"/>
      <c r="J813" s="10"/>
      <c r="K813" s="10"/>
      <c r="L813" s="10"/>
      <c r="M813" s="10"/>
      <c r="N813" s="10"/>
      <c r="O813" s="10"/>
      <c r="P813" s="10"/>
      <c r="Q813" s="10"/>
      <c r="R813" s="10"/>
    </row>
    <row r="814">
      <c r="C814" s="10"/>
      <c r="E814" s="10"/>
      <c r="G814" s="82"/>
      <c r="I814" s="10"/>
      <c r="J814" s="10"/>
      <c r="K814" s="10"/>
      <c r="L814" s="10"/>
      <c r="M814" s="10"/>
      <c r="N814" s="10"/>
      <c r="O814" s="10"/>
      <c r="P814" s="10"/>
      <c r="Q814" s="10"/>
      <c r="R814" s="10"/>
    </row>
    <row r="815">
      <c r="C815" s="10"/>
      <c r="E815" s="10"/>
      <c r="G815" s="82"/>
      <c r="I815" s="10"/>
      <c r="J815" s="10"/>
      <c r="K815" s="10"/>
      <c r="L815" s="10"/>
      <c r="M815" s="10"/>
      <c r="N815" s="10"/>
      <c r="O815" s="10"/>
      <c r="P815" s="10"/>
      <c r="Q815" s="10"/>
      <c r="R815" s="10"/>
    </row>
    <row r="816">
      <c r="C816" s="10"/>
      <c r="E816" s="10"/>
      <c r="G816" s="82"/>
      <c r="I816" s="10"/>
      <c r="J816" s="10"/>
      <c r="K816" s="10"/>
      <c r="L816" s="10"/>
      <c r="M816" s="10"/>
      <c r="N816" s="10"/>
      <c r="O816" s="10"/>
      <c r="P816" s="10"/>
      <c r="Q816" s="10"/>
      <c r="R816" s="10"/>
    </row>
    <row r="817">
      <c r="C817" s="10"/>
      <c r="E817" s="10"/>
      <c r="G817" s="82"/>
      <c r="I817" s="10"/>
      <c r="J817" s="10"/>
      <c r="K817" s="10"/>
      <c r="L817" s="10"/>
      <c r="M817" s="10"/>
      <c r="N817" s="10"/>
      <c r="O817" s="10"/>
      <c r="P817" s="10"/>
      <c r="Q817" s="10"/>
      <c r="R817" s="10"/>
    </row>
    <row r="818">
      <c r="C818" s="10"/>
      <c r="E818" s="10"/>
      <c r="G818" s="82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>
      <c r="C819" s="10"/>
      <c r="E819" s="10"/>
      <c r="G819" s="82"/>
      <c r="I819" s="10"/>
      <c r="J819" s="10"/>
      <c r="K819" s="10"/>
      <c r="L819" s="10"/>
      <c r="M819" s="10"/>
      <c r="N819" s="10"/>
      <c r="O819" s="10"/>
      <c r="P819" s="10"/>
      <c r="Q819" s="10"/>
      <c r="R819" s="10"/>
    </row>
    <row r="820">
      <c r="C820" s="10"/>
      <c r="E820" s="10"/>
      <c r="G820" s="82"/>
      <c r="I820" s="10"/>
      <c r="J820" s="10"/>
      <c r="K820" s="10"/>
      <c r="L820" s="10"/>
      <c r="M820" s="10"/>
      <c r="N820" s="10"/>
      <c r="O820" s="10"/>
      <c r="P820" s="10"/>
      <c r="Q820" s="10"/>
      <c r="R820" s="10"/>
    </row>
    <row r="821">
      <c r="C821" s="10"/>
      <c r="E821" s="10"/>
      <c r="G821" s="82"/>
      <c r="I821" s="10"/>
      <c r="J821" s="10"/>
      <c r="K821" s="10"/>
      <c r="L821" s="10"/>
      <c r="M821" s="10"/>
      <c r="N821" s="10"/>
      <c r="O821" s="10"/>
      <c r="P821" s="10"/>
      <c r="Q821" s="10"/>
      <c r="R821" s="10"/>
    </row>
    <row r="822">
      <c r="C822" s="10"/>
      <c r="E822" s="10"/>
      <c r="G822" s="82"/>
      <c r="I822" s="10"/>
      <c r="J822" s="10"/>
      <c r="K822" s="10"/>
      <c r="L822" s="10"/>
      <c r="M822" s="10"/>
      <c r="N822" s="10"/>
      <c r="O822" s="10"/>
      <c r="P822" s="10"/>
      <c r="Q822" s="10"/>
      <c r="R822" s="10"/>
    </row>
    <row r="823">
      <c r="C823" s="10"/>
      <c r="E823" s="10"/>
      <c r="G823" s="82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>
      <c r="C824" s="10"/>
      <c r="E824" s="10"/>
      <c r="G824" s="82"/>
      <c r="I824" s="10"/>
      <c r="J824" s="10"/>
      <c r="K824" s="10"/>
      <c r="L824" s="10"/>
      <c r="M824" s="10"/>
      <c r="N824" s="10"/>
      <c r="O824" s="10"/>
      <c r="P824" s="10"/>
      <c r="Q824" s="10"/>
      <c r="R824" s="10"/>
    </row>
    <row r="825">
      <c r="C825" s="10"/>
      <c r="E825" s="10"/>
      <c r="G825" s="82"/>
      <c r="I825" s="10"/>
      <c r="J825" s="10"/>
      <c r="K825" s="10"/>
      <c r="L825" s="10"/>
      <c r="M825" s="10"/>
      <c r="N825" s="10"/>
      <c r="O825" s="10"/>
      <c r="P825" s="10"/>
      <c r="Q825" s="10"/>
      <c r="R825" s="10"/>
    </row>
    <row r="826">
      <c r="C826" s="10"/>
      <c r="E826" s="10"/>
      <c r="G826" s="82"/>
      <c r="I826" s="10"/>
      <c r="J826" s="10"/>
      <c r="K826" s="10"/>
      <c r="L826" s="10"/>
      <c r="M826" s="10"/>
      <c r="N826" s="10"/>
      <c r="O826" s="10"/>
      <c r="P826" s="10"/>
      <c r="Q826" s="10"/>
      <c r="R826" s="10"/>
    </row>
    <row r="827">
      <c r="C827" s="10"/>
      <c r="E827" s="10"/>
      <c r="G827" s="82"/>
      <c r="I827" s="10"/>
      <c r="J827" s="10"/>
      <c r="K827" s="10"/>
      <c r="L827" s="10"/>
      <c r="M827" s="10"/>
      <c r="N827" s="10"/>
      <c r="O827" s="10"/>
      <c r="P827" s="10"/>
      <c r="Q827" s="10"/>
      <c r="R827" s="10"/>
    </row>
    <row r="828">
      <c r="C828" s="10"/>
      <c r="E828" s="10"/>
      <c r="G828" s="82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>
      <c r="C829" s="10"/>
      <c r="E829" s="10"/>
      <c r="G829" s="82"/>
      <c r="I829" s="10"/>
      <c r="J829" s="10"/>
      <c r="K829" s="10"/>
      <c r="L829" s="10"/>
      <c r="M829" s="10"/>
      <c r="N829" s="10"/>
      <c r="O829" s="10"/>
      <c r="P829" s="10"/>
      <c r="Q829" s="10"/>
      <c r="R829" s="10"/>
    </row>
    <row r="830">
      <c r="C830" s="10"/>
      <c r="E830" s="10"/>
      <c r="G830" s="82"/>
      <c r="I830" s="10"/>
      <c r="J830" s="10"/>
      <c r="K830" s="10"/>
      <c r="L830" s="10"/>
      <c r="M830" s="10"/>
      <c r="N830" s="10"/>
      <c r="O830" s="10"/>
      <c r="P830" s="10"/>
      <c r="Q830" s="10"/>
      <c r="R830" s="10"/>
    </row>
    <row r="831">
      <c r="C831" s="10"/>
      <c r="E831" s="10"/>
      <c r="G831" s="82"/>
      <c r="I831" s="10"/>
      <c r="J831" s="10"/>
      <c r="K831" s="10"/>
      <c r="L831" s="10"/>
      <c r="M831" s="10"/>
      <c r="N831" s="10"/>
      <c r="O831" s="10"/>
      <c r="P831" s="10"/>
      <c r="Q831" s="10"/>
      <c r="R831" s="10"/>
    </row>
    <row r="832">
      <c r="C832" s="10"/>
      <c r="E832" s="10"/>
      <c r="G832" s="82"/>
      <c r="I832" s="10"/>
      <c r="J832" s="10"/>
      <c r="K832" s="10"/>
      <c r="L832" s="10"/>
      <c r="M832" s="10"/>
      <c r="N832" s="10"/>
      <c r="O832" s="10"/>
      <c r="P832" s="10"/>
      <c r="Q832" s="10"/>
      <c r="R832" s="10"/>
    </row>
    <row r="833">
      <c r="C833" s="10"/>
      <c r="E833" s="10"/>
      <c r="G833" s="82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>
      <c r="C834" s="10"/>
      <c r="E834" s="10"/>
      <c r="G834" s="82"/>
      <c r="I834" s="10"/>
      <c r="J834" s="10"/>
      <c r="K834" s="10"/>
      <c r="L834" s="10"/>
      <c r="M834" s="10"/>
      <c r="N834" s="10"/>
      <c r="O834" s="10"/>
      <c r="P834" s="10"/>
      <c r="Q834" s="10"/>
      <c r="R834" s="10"/>
    </row>
    <row r="835">
      <c r="C835" s="10"/>
      <c r="E835" s="10"/>
      <c r="G835" s="82"/>
      <c r="I835" s="10"/>
      <c r="J835" s="10"/>
      <c r="K835" s="10"/>
      <c r="L835" s="10"/>
      <c r="M835" s="10"/>
      <c r="N835" s="10"/>
      <c r="O835" s="10"/>
      <c r="P835" s="10"/>
      <c r="Q835" s="10"/>
      <c r="R835" s="10"/>
    </row>
    <row r="836">
      <c r="C836" s="10"/>
      <c r="E836" s="10"/>
      <c r="G836" s="82"/>
      <c r="I836" s="10"/>
      <c r="J836" s="10"/>
      <c r="K836" s="10"/>
      <c r="L836" s="10"/>
      <c r="M836" s="10"/>
      <c r="N836" s="10"/>
      <c r="O836" s="10"/>
      <c r="P836" s="10"/>
      <c r="Q836" s="10"/>
      <c r="R836" s="10"/>
    </row>
    <row r="837">
      <c r="C837" s="10"/>
      <c r="E837" s="10"/>
      <c r="G837" s="82"/>
      <c r="I837" s="10"/>
      <c r="J837" s="10"/>
      <c r="K837" s="10"/>
      <c r="L837" s="10"/>
      <c r="M837" s="10"/>
      <c r="N837" s="10"/>
      <c r="O837" s="10"/>
      <c r="P837" s="10"/>
      <c r="Q837" s="10"/>
      <c r="R837" s="10"/>
    </row>
    <row r="838">
      <c r="C838" s="10"/>
      <c r="E838" s="10"/>
      <c r="G838" s="82"/>
      <c r="I838" s="10"/>
      <c r="J838" s="10"/>
      <c r="K838" s="10"/>
      <c r="L838" s="10"/>
      <c r="M838" s="10"/>
      <c r="N838" s="10"/>
      <c r="O838" s="10"/>
      <c r="P838" s="10"/>
      <c r="Q838" s="10"/>
      <c r="R838" s="10"/>
    </row>
    <row r="839">
      <c r="C839" s="10"/>
      <c r="E839" s="10"/>
      <c r="G839" s="82"/>
      <c r="I839" s="10"/>
      <c r="J839" s="10"/>
      <c r="K839" s="10"/>
      <c r="L839" s="10"/>
      <c r="M839" s="10"/>
      <c r="N839" s="10"/>
      <c r="O839" s="10"/>
      <c r="P839" s="10"/>
      <c r="Q839" s="10"/>
      <c r="R839" s="10"/>
    </row>
    <row r="840">
      <c r="C840" s="10"/>
      <c r="E840" s="10"/>
      <c r="G840" s="82"/>
      <c r="I840" s="10"/>
      <c r="J840" s="10"/>
      <c r="K840" s="10"/>
      <c r="L840" s="10"/>
      <c r="M840" s="10"/>
      <c r="N840" s="10"/>
      <c r="O840" s="10"/>
      <c r="P840" s="10"/>
      <c r="Q840" s="10"/>
      <c r="R840" s="10"/>
    </row>
    <row r="841">
      <c r="C841" s="10"/>
      <c r="E841" s="10"/>
      <c r="G841" s="82"/>
      <c r="I841" s="10"/>
      <c r="J841" s="10"/>
      <c r="K841" s="10"/>
      <c r="L841" s="10"/>
      <c r="M841" s="10"/>
      <c r="N841" s="10"/>
      <c r="O841" s="10"/>
      <c r="P841" s="10"/>
      <c r="Q841" s="10"/>
      <c r="R841" s="10"/>
    </row>
    <row r="842">
      <c r="C842" s="10"/>
      <c r="E842" s="10"/>
      <c r="G842" s="82"/>
      <c r="I842" s="10"/>
      <c r="J842" s="10"/>
      <c r="K842" s="10"/>
      <c r="L842" s="10"/>
      <c r="M842" s="10"/>
      <c r="N842" s="10"/>
      <c r="O842" s="10"/>
      <c r="P842" s="10"/>
      <c r="Q842" s="10"/>
      <c r="R842" s="10"/>
    </row>
    <row r="843">
      <c r="C843" s="10"/>
      <c r="E843" s="10"/>
      <c r="G843" s="82"/>
      <c r="I843" s="10"/>
      <c r="J843" s="10"/>
      <c r="K843" s="10"/>
      <c r="L843" s="10"/>
      <c r="M843" s="10"/>
      <c r="N843" s="10"/>
      <c r="O843" s="10"/>
      <c r="P843" s="10"/>
      <c r="Q843" s="10"/>
      <c r="R843" s="10"/>
    </row>
    <row r="844">
      <c r="C844" s="10"/>
      <c r="E844" s="10"/>
      <c r="G844" s="82"/>
      <c r="I844" s="10"/>
      <c r="J844" s="10"/>
      <c r="K844" s="10"/>
      <c r="L844" s="10"/>
      <c r="M844" s="10"/>
      <c r="N844" s="10"/>
      <c r="O844" s="10"/>
      <c r="P844" s="10"/>
      <c r="Q844" s="10"/>
      <c r="R844" s="10"/>
    </row>
    <row r="845">
      <c r="C845" s="10"/>
      <c r="E845" s="10"/>
      <c r="G845" s="82"/>
      <c r="I845" s="10"/>
      <c r="J845" s="10"/>
      <c r="K845" s="10"/>
      <c r="L845" s="10"/>
      <c r="M845" s="10"/>
      <c r="N845" s="10"/>
      <c r="O845" s="10"/>
      <c r="P845" s="10"/>
      <c r="Q845" s="10"/>
      <c r="R845" s="10"/>
    </row>
    <row r="846">
      <c r="C846" s="10"/>
      <c r="E846" s="10"/>
      <c r="G846" s="82"/>
      <c r="I846" s="10"/>
      <c r="J846" s="10"/>
      <c r="K846" s="10"/>
      <c r="L846" s="10"/>
      <c r="M846" s="10"/>
      <c r="N846" s="10"/>
      <c r="O846" s="10"/>
      <c r="P846" s="10"/>
      <c r="Q846" s="10"/>
      <c r="R846" s="10"/>
    </row>
    <row r="847">
      <c r="C847" s="10"/>
      <c r="E847" s="10"/>
      <c r="G847" s="82"/>
      <c r="I847" s="10"/>
      <c r="J847" s="10"/>
      <c r="K847" s="10"/>
      <c r="L847" s="10"/>
      <c r="M847" s="10"/>
      <c r="N847" s="10"/>
      <c r="O847" s="10"/>
      <c r="P847" s="10"/>
      <c r="Q847" s="10"/>
      <c r="R847" s="10"/>
    </row>
    <row r="848">
      <c r="C848" s="10"/>
      <c r="E848" s="10"/>
      <c r="G848" s="82"/>
      <c r="I848" s="10"/>
      <c r="J848" s="10"/>
      <c r="K848" s="10"/>
      <c r="L848" s="10"/>
      <c r="M848" s="10"/>
      <c r="N848" s="10"/>
      <c r="O848" s="10"/>
      <c r="P848" s="10"/>
      <c r="Q848" s="10"/>
      <c r="R848" s="10"/>
    </row>
    <row r="849">
      <c r="C849" s="10"/>
      <c r="E849" s="10"/>
      <c r="G849" s="82"/>
      <c r="I849" s="10"/>
      <c r="J849" s="10"/>
      <c r="K849" s="10"/>
      <c r="L849" s="10"/>
      <c r="M849" s="10"/>
      <c r="N849" s="10"/>
      <c r="O849" s="10"/>
      <c r="P849" s="10"/>
      <c r="Q849" s="10"/>
      <c r="R849" s="10"/>
    </row>
    <row r="850">
      <c r="C850" s="10"/>
      <c r="E850" s="10"/>
      <c r="G850" s="82"/>
      <c r="I850" s="10"/>
      <c r="J850" s="10"/>
      <c r="K850" s="10"/>
      <c r="L850" s="10"/>
      <c r="M850" s="10"/>
      <c r="N850" s="10"/>
      <c r="O850" s="10"/>
      <c r="P850" s="10"/>
      <c r="Q850" s="10"/>
      <c r="R850" s="10"/>
    </row>
    <row r="851">
      <c r="C851" s="10"/>
      <c r="E851" s="10"/>
      <c r="G851" s="82"/>
      <c r="I851" s="10"/>
      <c r="J851" s="10"/>
      <c r="K851" s="10"/>
      <c r="L851" s="10"/>
      <c r="M851" s="10"/>
      <c r="N851" s="10"/>
      <c r="O851" s="10"/>
      <c r="P851" s="10"/>
      <c r="Q851" s="10"/>
      <c r="R851" s="10"/>
    </row>
    <row r="852">
      <c r="C852" s="10"/>
      <c r="E852" s="10"/>
      <c r="G852" s="82"/>
      <c r="I852" s="10"/>
      <c r="J852" s="10"/>
      <c r="K852" s="10"/>
      <c r="L852" s="10"/>
      <c r="M852" s="10"/>
      <c r="N852" s="10"/>
      <c r="O852" s="10"/>
      <c r="P852" s="10"/>
      <c r="Q852" s="10"/>
      <c r="R852" s="10"/>
    </row>
    <row r="853">
      <c r="C853" s="10"/>
      <c r="E853" s="10"/>
      <c r="G853" s="82"/>
      <c r="I853" s="10"/>
      <c r="J853" s="10"/>
      <c r="K853" s="10"/>
      <c r="L853" s="10"/>
      <c r="M853" s="10"/>
      <c r="N853" s="10"/>
      <c r="O853" s="10"/>
      <c r="P853" s="10"/>
      <c r="Q853" s="10"/>
      <c r="R853" s="10"/>
    </row>
    <row r="854">
      <c r="C854" s="10"/>
      <c r="E854" s="10"/>
      <c r="G854" s="82"/>
      <c r="I854" s="10"/>
      <c r="J854" s="10"/>
      <c r="K854" s="10"/>
      <c r="L854" s="10"/>
      <c r="M854" s="10"/>
      <c r="N854" s="10"/>
      <c r="O854" s="10"/>
      <c r="P854" s="10"/>
      <c r="Q854" s="10"/>
      <c r="R854" s="10"/>
    </row>
    <row r="855">
      <c r="C855" s="10"/>
      <c r="E855" s="10"/>
      <c r="G855" s="82"/>
      <c r="I855" s="10"/>
      <c r="J855" s="10"/>
      <c r="K855" s="10"/>
      <c r="L855" s="10"/>
      <c r="M855" s="10"/>
      <c r="N855" s="10"/>
      <c r="O855" s="10"/>
      <c r="P855" s="10"/>
      <c r="Q855" s="10"/>
      <c r="R855" s="10"/>
    </row>
    <row r="856">
      <c r="C856" s="10"/>
      <c r="E856" s="10"/>
      <c r="G856" s="82"/>
      <c r="I856" s="10"/>
      <c r="J856" s="10"/>
      <c r="K856" s="10"/>
      <c r="L856" s="10"/>
      <c r="M856" s="10"/>
      <c r="N856" s="10"/>
      <c r="O856" s="10"/>
      <c r="P856" s="10"/>
      <c r="Q856" s="10"/>
      <c r="R856" s="10"/>
    </row>
    <row r="857">
      <c r="C857" s="10"/>
      <c r="E857" s="10"/>
      <c r="G857" s="82"/>
      <c r="I857" s="10"/>
      <c r="J857" s="10"/>
      <c r="K857" s="10"/>
      <c r="L857" s="10"/>
      <c r="M857" s="10"/>
      <c r="N857" s="10"/>
      <c r="O857" s="10"/>
      <c r="P857" s="10"/>
      <c r="Q857" s="10"/>
      <c r="R857" s="10"/>
    </row>
    <row r="858">
      <c r="C858" s="10"/>
      <c r="E858" s="10"/>
      <c r="G858" s="82"/>
      <c r="I858" s="10"/>
      <c r="J858" s="10"/>
      <c r="K858" s="10"/>
      <c r="L858" s="10"/>
      <c r="M858" s="10"/>
      <c r="N858" s="10"/>
      <c r="O858" s="10"/>
      <c r="P858" s="10"/>
      <c r="Q858" s="10"/>
      <c r="R858" s="10"/>
    </row>
    <row r="859">
      <c r="C859" s="10"/>
      <c r="E859" s="10"/>
      <c r="G859" s="82"/>
      <c r="I859" s="10"/>
      <c r="J859" s="10"/>
      <c r="K859" s="10"/>
      <c r="L859" s="10"/>
      <c r="M859" s="10"/>
      <c r="N859" s="10"/>
      <c r="O859" s="10"/>
      <c r="P859" s="10"/>
      <c r="Q859" s="10"/>
      <c r="R859" s="10"/>
    </row>
    <row r="860">
      <c r="C860" s="10"/>
      <c r="E860" s="10"/>
      <c r="G860" s="82"/>
      <c r="I860" s="10"/>
      <c r="J860" s="10"/>
      <c r="K860" s="10"/>
      <c r="L860" s="10"/>
      <c r="M860" s="10"/>
      <c r="N860" s="10"/>
      <c r="O860" s="10"/>
      <c r="P860" s="10"/>
      <c r="Q860" s="10"/>
      <c r="R860" s="10"/>
    </row>
    <row r="861">
      <c r="C861" s="10"/>
      <c r="E861" s="10"/>
      <c r="G861" s="82"/>
      <c r="I861" s="10"/>
      <c r="J861" s="10"/>
      <c r="K861" s="10"/>
      <c r="L861" s="10"/>
      <c r="M861" s="10"/>
      <c r="N861" s="10"/>
      <c r="O861" s="10"/>
      <c r="P861" s="10"/>
      <c r="Q861" s="10"/>
      <c r="R861" s="10"/>
    </row>
    <row r="862">
      <c r="C862" s="10"/>
      <c r="E862" s="10"/>
      <c r="G862" s="82"/>
      <c r="I862" s="10"/>
      <c r="J862" s="10"/>
      <c r="K862" s="10"/>
      <c r="L862" s="10"/>
      <c r="M862" s="10"/>
      <c r="N862" s="10"/>
      <c r="O862" s="10"/>
      <c r="P862" s="10"/>
      <c r="Q862" s="10"/>
      <c r="R862" s="10"/>
    </row>
    <row r="863">
      <c r="C863" s="10"/>
      <c r="E863" s="10"/>
      <c r="G863" s="82"/>
      <c r="I863" s="10"/>
      <c r="J863" s="10"/>
      <c r="K863" s="10"/>
      <c r="L863" s="10"/>
      <c r="M863" s="10"/>
      <c r="N863" s="10"/>
      <c r="O863" s="10"/>
      <c r="P863" s="10"/>
      <c r="Q863" s="10"/>
      <c r="R863" s="10"/>
    </row>
    <row r="864">
      <c r="C864" s="10"/>
      <c r="E864" s="10"/>
      <c r="G864" s="82"/>
      <c r="I864" s="10"/>
      <c r="J864" s="10"/>
      <c r="K864" s="10"/>
      <c r="L864" s="10"/>
      <c r="M864" s="10"/>
      <c r="N864" s="10"/>
      <c r="O864" s="10"/>
      <c r="P864" s="10"/>
      <c r="Q864" s="10"/>
      <c r="R864" s="10"/>
    </row>
    <row r="865">
      <c r="C865" s="10"/>
      <c r="E865" s="10"/>
      <c r="G865" s="82"/>
      <c r="I865" s="10"/>
      <c r="J865" s="10"/>
      <c r="K865" s="10"/>
      <c r="L865" s="10"/>
      <c r="M865" s="10"/>
      <c r="N865" s="10"/>
      <c r="O865" s="10"/>
      <c r="P865" s="10"/>
      <c r="Q865" s="10"/>
      <c r="R865" s="10"/>
    </row>
    <row r="866">
      <c r="C866" s="10"/>
      <c r="E866" s="10"/>
      <c r="G866" s="82"/>
      <c r="I866" s="10"/>
      <c r="J866" s="10"/>
      <c r="K866" s="10"/>
      <c r="L866" s="10"/>
      <c r="M866" s="10"/>
      <c r="N866" s="10"/>
      <c r="O866" s="10"/>
      <c r="P866" s="10"/>
      <c r="Q866" s="10"/>
      <c r="R866" s="10"/>
    </row>
    <row r="867">
      <c r="C867" s="10"/>
      <c r="E867" s="10"/>
      <c r="G867" s="82"/>
      <c r="I867" s="10"/>
      <c r="J867" s="10"/>
      <c r="K867" s="10"/>
      <c r="L867" s="10"/>
      <c r="M867" s="10"/>
      <c r="N867" s="10"/>
      <c r="O867" s="10"/>
      <c r="P867" s="10"/>
      <c r="Q867" s="10"/>
      <c r="R867" s="10"/>
    </row>
    <row r="868">
      <c r="C868" s="10"/>
      <c r="E868" s="10"/>
      <c r="G868" s="82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>
      <c r="C869" s="10"/>
      <c r="E869" s="10"/>
      <c r="G869" s="82"/>
      <c r="I869" s="10"/>
      <c r="J869" s="10"/>
      <c r="K869" s="10"/>
      <c r="L869" s="10"/>
      <c r="M869" s="10"/>
      <c r="N869" s="10"/>
      <c r="O869" s="10"/>
      <c r="P869" s="10"/>
      <c r="Q869" s="10"/>
      <c r="R869" s="10"/>
    </row>
    <row r="870">
      <c r="C870" s="10"/>
      <c r="E870" s="10"/>
      <c r="G870" s="82"/>
      <c r="I870" s="10"/>
      <c r="J870" s="10"/>
      <c r="K870" s="10"/>
      <c r="L870" s="10"/>
      <c r="M870" s="10"/>
      <c r="N870" s="10"/>
      <c r="O870" s="10"/>
      <c r="P870" s="10"/>
      <c r="Q870" s="10"/>
      <c r="R870" s="10"/>
    </row>
    <row r="871">
      <c r="C871" s="10"/>
      <c r="E871" s="10"/>
      <c r="G871" s="82"/>
      <c r="I871" s="10"/>
      <c r="J871" s="10"/>
      <c r="K871" s="10"/>
      <c r="L871" s="10"/>
      <c r="M871" s="10"/>
      <c r="N871" s="10"/>
      <c r="O871" s="10"/>
      <c r="P871" s="10"/>
      <c r="Q871" s="10"/>
      <c r="R871" s="10"/>
    </row>
    <row r="872">
      <c r="C872" s="10"/>
      <c r="E872" s="10"/>
      <c r="G872" s="82"/>
      <c r="I872" s="10"/>
      <c r="J872" s="10"/>
      <c r="K872" s="10"/>
      <c r="L872" s="10"/>
      <c r="M872" s="10"/>
      <c r="N872" s="10"/>
      <c r="O872" s="10"/>
      <c r="P872" s="10"/>
      <c r="Q872" s="10"/>
      <c r="R872" s="10"/>
    </row>
    <row r="873">
      <c r="C873" s="10"/>
      <c r="E873" s="10"/>
      <c r="G873" s="82"/>
      <c r="I873" s="10"/>
      <c r="J873" s="10"/>
      <c r="K873" s="10"/>
      <c r="L873" s="10"/>
      <c r="M873" s="10"/>
      <c r="N873" s="10"/>
      <c r="O873" s="10"/>
      <c r="P873" s="10"/>
      <c r="Q873" s="10"/>
      <c r="R873" s="10"/>
    </row>
    <row r="874">
      <c r="C874" s="10"/>
      <c r="E874" s="10"/>
      <c r="G874" s="82"/>
      <c r="I874" s="10"/>
      <c r="J874" s="10"/>
      <c r="K874" s="10"/>
      <c r="L874" s="10"/>
      <c r="M874" s="10"/>
      <c r="N874" s="10"/>
      <c r="O874" s="10"/>
      <c r="P874" s="10"/>
      <c r="Q874" s="10"/>
      <c r="R874" s="10"/>
    </row>
    <row r="875">
      <c r="C875" s="10"/>
      <c r="E875" s="10"/>
      <c r="G875" s="82"/>
      <c r="I875" s="10"/>
      <c r="J875" s="10"/>
      <c r="K875" s="10"/>
      <c r="L875" s="10"/>
      <c r="M875" s="10"/>
      <c r="N875" s="10"/>
      <c r="O875" s="10"/>
      <c r="P875" s="10"/>
      <c r="Q875" s="10"/>
      <c r="R875" s="10"/>
    </row>
    <row r="876">
      <c r="C876" s="10"/>
      <c r="E876" s="10"/>
      <c r="G876" s="82"/>
      <c r="I876" s="10"/>
      <c r="J876" s="10"/>
      <c r="K876" s="10"/>
      <c r="L876" s="10"/>
      <c r="M876" s="10"/>
      <c r="N876" s="10"/>
      <c r="O876" s="10"/>
      <c r="P876" s="10"/>
      <c r="Q876" s="10"/>
      <c r="R876" s="10"/>
    </row>
    <row r="877">
      <c r="C877" s="10"/>
      <c r="E877" s="10"/>
      <c r="G877" s="82"/>
      <c r="I877" s="10"/>
      <c r="J877" s="10"/>
      <c r="K877" s="10"/>
      <c r="L877" s="10"/>
      <c r="M877" s="10"/>
      <c r="N877" s="10"/>
      <c r="O877" s="10"/>
      <c r="P877" s="10"/>
      <c r="Q877" s="10"/>
      <c r="R877" s="10"/>
    </row>
    <row r="878">
      <c r="C878" s="10"/>
      <c r="E878" s="10"/>
      <c r="G878" s="82"/>
      <c r="I878" s="10"/>
      <c r="J878" s="10"/>
      <c r="K878" s="10"/>
      <c r="L878" s="10"/>
      <c r="M878" s="10"/>
      <c r="N878" s="10"/>
      <c r="O878" s="10"/>
      <c r="P878" s="10"/>
      <c r="Q878" s="10"/>
      <c r="R878" s="10"/>
    </row>
    <row r="879">
      <c r="C879" s="10"/>
      <c r="E879" s="10"/>
      <c r="G879" s="82"/>
      <c r="I879" s="10"/>
      <c r="J879" s="10"/>
      <c r="K879" s="10"/>
      <c r="L879" s="10"/>
      <c r="M879" s="10"/>
      <c r="N879" s="10"/>
      <c r="O879" s="10"/>
      <c r="P879" s="10"/>
      <c r="Q879" s="10"/>
      <c r="R879" s="10"/>
    </row>
    <row r="880">
      <c r="C880" s="10"/>
      <c r="E880" s="10"/>
      <c r="G880" s="82"/>
      <c r="I880" s="10"/>
      <c r="J880" s="10"/>
      <c r="K880" s="10"/>
      <c r="L880" s="10"/>
      <c r="M880" s="10"/>
      <c r="N880" s="10"/>
      <c r="O880" s="10"/>
      <c r="P880" s="10"/>
      <c r="Q880" s="10"/>
      <c r="R880" s="10"/>
    </row>
    <row r="881">
      <c r="C881" s="10"/>
      <c r="E881" s="10"/>
      <c r="G881" s="82"/>
      <c r="I881" s="10"/>
      <c r="J881" s="10"/>
      <c r="K881" s="10"/>
      <c r="L881" s="10"/>
      <c r="M881" s="10"/>
      <c r="N881" s="10"/>
      <c r="O881" s="10"/>
      <c r="P881" s="10"/>
      <c r="Q881" s="10"/>
      <c r="R881" s="10"/>
    </row>
    <row r="882">
      <c r="C882" s="10"/>
      <c r="E882" s="10"/>
      <c r="G882" s="82"/>
      <c r="I882" s="10"/>
      <c r="J882" s="10"/>
      <c r="K882" s="10"/>
      <c r="L882" s="10"/>
      <c r="M882" s="10"/>
      <c r="N882" s="10"/>
      <c r="O882" s="10"/>
      <c r="P882" s="10"/>
      <c r="Q882" s="10"/>
      <c r="R882" s="10"/>
    </row>
    <row r="883">
      <c r="C883" s="10"/>
      <c r="E883" s="10"/>
      <c r="G883" s="82"/>
      <c r="I883" s="10"/>
      <c r="J883" s="10"/>
      <c r="K883" s="10"/>
      <c r="L883" s="10"/>
      <c r="M883" s="10"/>
      <c r="N883" s="10"/>
      <c r="O883" s="10"/>
      <c r="P883" s="10"/>
      <c r="Q883" s="10"/>
      <c r="R883" s="10"/>
    </row>
    <row r="884">
      <c r="C884" s="10"/>
      <c r="E884" s="10"/>
      <c r="G884" s="82"/>
      <c r="I884" s="10"/>
      <c r="J884" s="10"/>
      <c r="K884" s="10"/>
      <c r="L884" s="10"/>
      <c r="M884" s="10"/>
      <c r="N884" s="10"/>
      <c r="O884" s="10"/>
      <c r="P884" s="10"/>
      <c r="Q884" s="10"/>
      <c r="R884" s="10"/>
    </row>
    <row r="885">
      <c r="C885" s="10"/>
      <c r="E885" s="10"/>
      <c r="G885" s="82"/>
      <c r="I885" s="10"/>
      <c r="J885" s="10"/>
      <c r="K885" s="10"/>
      <c r="L885" s="10"/>
      <c r="M885" s="10"/>
      <c r="N885" s="10"/>
      <c r="O885" s="10"/>
      <c r="P885" s="10"/>
      <c r="Q885" s="10"/>
      <c r="R885" s="10"/>
    </row>
    <row r="886">
      <c r="C886" s="10"/>
      <c r="E886" s="10"/>
      <c r="G886" s="82"/>
      <c r="I886" s="10"/>
      <c r="J886" s="10"/>
      <c r="K886" s="10"/>
      <c r="L886" s="10"/>
      <c r="M886" s="10"/>
      <c r="N886" s="10"/>
      <c r="O886" s="10"/>
      <c r="P886" s="10"/>
      <c r="Q886" s="10"/>
      <c r="R886" s="10"/>
    </row>
    <row r="887">
      <c r="C887" s="10"/>
      <c r="E887" s="10"/>
      <c r="G887" s="82"/>
      <c r="I887" s="10"/>
      <c r="J887" s="10"/>
      <c r="K887" s="10"/>
      <c r="L887" s="10"/>
      <c r="M887" s="10"/>
      <c r="N887" s="10"/>
      <c r="O887" s="10"/>
      <c r="P887" s="10"/>
      <c r="Q887" s="10"/>
      <c r="R887" s="10"/>
    </row>
    <row r="888">
      <c r="C888" s="10"/>
      <c r="E888" s="10"/>
      <c r="G888" s="82"/>
      <c r="I888" s="10"/>
      <c r="J888" s="10"/>
      <c r="K888" s="10"/>
      <c r="L888" s="10"/>
      <c r="M888" s="10"/>
      <c r="N888" s="10"/>
      <c r="O888" s="10"/>
      <c r="P888" s="10"/>
      <c r="Q888" s="10"/>
      <c r="R888" s="10"/>
    </row>
    <row r="889">
      <c r="C889" s="10"/>
      <c r="E889" s="10"/>
      <c r="G889" s="82"/>
      <c r="I889" s="10"/>
      <c r="J889" s="10"/>
      <c r="K889" s="10"/>
      <c r="L889" s="10"/>
      <c r="M889" s="10"/>
      <c r="N889" s="10"/>
      <c r="O889" s="10"/>
      <c r="P889" s="10"/>
      <c r="Q889" s="10"/>
      <c r="R889" s="10"/>
    </row>
    <row r="890">
      <c r="C890" s="10"/>
      <c r="E890" s="10"/>
      <c r="G890" s="82"/>
      <c r="I890" s="10"/>
      <c r="J890" s="10"/>
      <c r="K890" s="10"/>
      <c r="L890" s="10"/>
      <c r="M890" s="10"/>
      <c r="N890" s="10"/>
      <c r="O890" s="10"/>
      <c r="P890" s="10"/>
      <c r="Q890" s="10"/>
      <c r="R890" s="10"/>
    </row>
    <row r="891">
      <c r="C891" s="10"/>
      <c r="E891" s="10"/>
      <c r="G891" s="82"/>
      <c r="I891" s="10"/>
      <c r="J891" s="10"/>
      <c r="K891" s="10"/>
      <c r="L891" s="10"/>
      <c r="M891" s="10"/>
      <c r="N891" s="10"/>
      <c r="O891" s="10"/>
      <c r="P891" s="10"/>
      <c r="Q891" s="10"/>
      <c r="R891" s="10"/>
    </row>
    <row r="892">
      <c r="C892" s="10"/>
      <c r="E892" s="10"/>
      <c r="G892" s="82"/>
      <c r="I892" s="10"/>
      <c r="J892" s="10"/>
      <c r="K892" s="10"/>
      <c r="L892" s="10"/>
      <c r="M892" s="10"/>
      <c r="N892" s="10"/>
      <c r="O892" s="10"/>
      <c r="P892" s="10"/>
      <c r="Q892" s="10"/>
      <c r="R892" s="10"/>
    </row>
    <row r="893">
      <c r="C893" s="10"/>
      <c r="E893" s="10"/>
      <c r="G893" s="82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>
      <c r="C894" s="10"/>
      <c r="E894" s="10"/>
      <c r="G894" s="82"/>
      <c r="I894" s="10"/>
      <c r="J894" s="10"/>
      <c r="K894" s="10"/>
      <c r="L894" s="10"/>
      <c r="M894" s="10"/>
      <c r="N894" s="10"/>
      <c r="O894" s="10"/>
      <c r="P894" s="10"/>
      <c r="Q894" s="10"/>
      <c r="R894" s="10"/>
    </row>
    <row r="895">
      <c r="C895" s="10"/>
      <c r="E895" s="10"/>
      <c r="G895" s="82"/>
      <c r="I895" s="10"/>
      <c r="J895" s="10"/>
      <c r="K895" s="10"/>
      <c r="L895" s="10"/>
      <c r="M895" s="10"/>
      <c r="N895" s="10"/>
      <c r="O895" s="10"/>
      <c r="P895" s="10"/>
      <c r="Q895" s="10"/>
      <c r="R895" s="10"/>
    </row>
    <row r="896">
      <c r="C896" s="10"/>
      <c r="E896" s="10"/>
      <c r="G896" s="82"/>
      <c r="I896" s="10"/>
      <c r="J896" s="10"/>
      <c r="K896" s="10"/>
      <c r="L896" s="10"/>
      <c r="M896" s="10"/>
      <c r="N896" s="10"/>
      <c r="O896" s="10"/>
      <c r="P896" s="10"/>
      <c r="Q896" s="10"/>
      <c r="R896" s="10"/>
    </row>
    <row r="897">
      <c r="C897" s="10"/>
      <c r="E897" s="10"/>
      <c r="G897" s="82"/>
      <c r="I897" s="10"/>
      <c r="J897" s="10"/>
      <c r="K897" s="10"/>
      <c r="L897" s="10"/>
      <c r="M897" s="10"/>
      <c r="N897" s="10"/>
      <c r="O897" s="10"/>
      <c r="P897" s="10"/>
      <c r="Q897" s="10"/>
      <c r="R897" s="10"/>
    </row>
    <row r="898">
      <c r="C898" s="10"/>
      <c r="E898" s="10"/>
      <c r="G898" s="82"/>
      <c r="I898" s="10"/>
      <c r="J898" s="10"/>
      <c r="K898" s="10"/>
      <c r="L898" s="10"/>
      <c r="M898" s="10"/>
      <c r="N898" s="10"/>
      <c r="O898" s="10"/>
      <c r="P898" s="10"/>
      <c r="Q898" s="10"/>
      <c r="R898" s="10"/>
    </row>
    <row r="899">
      <c r="C899" s="10"/>
      <c r="E899" s="10"/>
      <c r="G899" s="82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>
      <c r="C900" s="10"/>
      <c r="E900" s="10"/>
      <c r="G900" s="82"/>
      <c r="I900" s="10"/>
      <c r="J900" s="10"/>
      <c r="K900" s="10"/>
      <c r="L900" s="10"/>
      <c r="M900" s="10"/>
      <c r="N900" s="10"/>
      <c r="O900" s="10"/>
      <c r="P900" s="10"/>
      <c r="Q900" s="10"/>
      <c r="R900" s="10"/>
    </row>
    <row r="901">
      <c r="C901" s="10"/>
      <c r="E901" s="10"/>
      <c r="G901" s="82"/>
      <c r="I901" s="10"/>
      <c r="J901" s="10"/>
      <c r="K901" s="10"/>
      <c r="L901" s="10"/>
      <c r="M901" s="10"/>
      <c r="N901" s="10"/>
      <c r="O901" s="10"/>
      <c r="P901" s="10"/>
      <c r="Q901" s="10"/>
      <c r="R901" s="10"/>
    </row>
    <row r="902">
      <c r="C902" s="10"/>
      <c r="E902" s="10"/>
      <c r="G902" s="82"/>
      <c r="I902" s="10"/>
      <c r="J902" s="10"/>
      <c r="K902" s="10"/>
      <c r="L902" s="10"/>
      <c r="M902" s="10"/>
      <c r="N902" s="10"/>
      <c r="O902" s="10"/>
      <c r="P902" s="10"/>
      <c r="Q902" s="10"/>
      <c r="R902" s="10"/>
    </row>
    <row r="903">
      <c r="C903" s="10"/>
      <c r="E903" s="10"/>
      <c r="G903" s="82"/>
      <c r="I903" s="10"/>
      <c r="J903" s="10"/>
      <c r="K903" s="10"/>
      <c r="L903" s="10"/>
      <c r="M903" s="10"/>
      <c r="N903" s="10"/>
      <c r="O903" s="10"/>
      <c r="P903" s="10"/>
      <c r="Q903" s="10"/>
      <c r="R903" s="10"/>
    </row>
    <row r="904">
      <c r="C904" s="10"/>
      <c r="E904" s="10"/>
      <c r="G904" s="82"/>
      <c r="I904" s="10"/>
      <c r="J904" s="10"/>
      <c r="K904" s="10"/>
      <c r="L904" s="10"/>
      <c r="M904" s="10"/>
      <c r="N904" s="10"/>
      <c r="O904" s="10"/>
      <c r="P904" s="10"/>
      <c r="Q904" s="10"/>
      <c r="R904" s="10"/>
    </row>
    <row r="905">
      <c r="C905" s="10"/>
      <c r="E905" s="10"/>
      <c r="G905" s="82"/>
      <c r="I905" s="10"/>
      <c r="J905" s="10"/>
      <c r="K905" s="10"/>
      <c r="L905" s="10"/>
      <c r="M905" s="10"/>
      <c r="N905" s="10"/>
      <c r="O905" s="10"/>
      <c r="P905" s="10"/>
      <c r="Q905" s="10"/>
      <c r="R905" s="10"/>
    </row>
    <row r="906">
      <c r="C906" s="10"/>
      <c r="E906" s="10"/>
      <c r="G906" s="82"/>
      <c r="I906" s="10"/>
      <c r="J906" s="10"/>
      <c r="K906" s="10"/>
      <c r="L906" s="10"/>
      <c r="M906" s="10"/>
      <c r="N906" s="10"/>
      <c r="O906" s="10"/>
      <c r="P906" s="10"/>
      <c r="Q906" s="10"/>
      <c r="R906" s="10"/>
    </row>
    <row r="907">
      <c r="C907" s="10"/>
      <c r="E907" s="10"/>
      <c r="G907" s="82"/>
      <c r="I907" s="10"/>
      <c r="J907" s="10"/>
      <c r="K907" s="10"/>
      <c r="L907" s="10"/>
      <c r="M907" s="10"/>
      <c r="N907" s="10"/>
      <c r="O907" s="10"/>
      <c r="P907" s="10"/>
      <c r="Q907" s="10"/>
      <c r="R907" s="10"/>
    </row>
    <row r="908">
      <c r="C908" s="10"/>
      <c r="E908" s="10"/>
      <c r="G908" s="82"/>
      <c r="I908" s="10"/>
      <c r="J908" s="10"/>
      <c r="K908" s="10"/>
      <c r="L908" s="10"/>
      <c r="M908" s="10"/>
      <c r="N908" s="10"/>
      <c r="O908" s="10"/>
      <c r="P908" s="10"/>
      <c r="Q908" s="10"/>
      <c r="R908" s="10"/>
    </row>
    <row r="909">
      <c r="C909" s="10"/>
      <c r="E909" s="10"/>
      <c r="G909" s="82"/>
      <c r="I909" s="10"/>
      <c r="J909" s="10"/>
      <c r="K909" s="10"/>
      <c r="L909" s="10"/>
      <c r="M909" s="10"/>
      <c r="N909" s="10"/>
      <c r="O909" s="10"/>
      <c r="P909" s="10"/>
      <c r="Q909" s="10"/>
      <c r="R909" s="10"/>
    </row>
    <row r="910">
      <c r="C910" s="10"/>
      <c r="E910" s="10"/>
      <c r="G910" s="82"/>
      <c r="I910" s="10"/>
      <c r="J910" s="10"/>
      <c r="K910" s="10"/>
      <c r="L910" s="10"/>
      <c r="M910" s="10"/>
      <c r="N910" s="10"/>
      <c r="O910" s="10"/>
      <c r="P910" s="10"/>
      <c r="Q910" s="10"/>
      <c r="R910" s="10"/>
    </row>
    <row r="911">
      <c r="C911" s="10"/>
      <c r="E911" s="10"/>
      <c r="G911" s="82"/>
      <c r="I911" s="10"/>
      <c r="J911" s="10"/>
      <c r="K911" s="10"/>
      <c r="L911" s="10"/>
      <c r="M911" s="10"/>
      <c r="N911" s="10"/>
      <c r="O911" s="10"/>
      <c r="P911" s="10"/>
      <c r="Q911" s="10"/>
      <c r="R911" s="10"/>
    </row>
    <row r="912">
      <c r="C912" s="10"/>
      <c r="E912" s="10"/>
      <c r="G912" s="82"/>
      <c r="I912" s="10"/>
      <c r="J912" s="10"/>
      <c r="K912" s="10"/>
      <c r="L912" s="10"/>
      <c r="M912" s="10"/>
      <c r="N912" s="10"/>
      <c r="O912" s="10"/>
      <c r="P912" s="10"/>
      <c r="Q912" s="10"/>
      <c r="R912" s="10"/>
    </row>
    <row r="913">
      <c r="C913" s="10"/>
      <c r="E913" s="10"/>
      <c r="G913" s="82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>
      <c r="C914" s="10"/>
      <c r="E914" s="10"/>
      <c r="G914" s="82"/>
      <c r="I914" s="10"/>
      <c r="J914" s="10"/>
      <c r="K914" s="10"/>
      <c r="L914" s="10"/>
      <c r="M914" s="10"/>
      <c r="N914" s="10"/>
      <c r="O914" s="10"/>
      <c r="P914" s="10"/>
      <c r="Q914" s="10"/>
      <c r="R914" s="10"/>
    </row>
    <row r="915">
      <c r="C915" s="10"/>
      <c r="E915" s="10"/>
      <c r="G915" s="82"/>
      <c r="I915" s="10"/>
      <c r="J915" s="10"/>
      <c r="K915" s="10"/>
      <c r="L915" s="10"/>
      <c r="M915" s="10"/>
      <c r="N915" s="10"/>
      <c r="O915" s="10"/>
      <c r="P915" s="10"/>
      <c r="Q915" s="10"/>
      <c r="R915" s="10"/>
    </row>
    <row r="916">
      <c r="C916" s="10"/>
      <c r="E916" s="10"/>
      <c r="G916" s="82"/>
      <c r="I916" s="10"/>
      <c r="J916" s="10"/>
      <c r="K916" s="10"/>
      <c r="L916" s="10"/>
      <c r="M916" s="10"/>
      <c r="N916" s="10"/>
      <c r="O916" s="10"/>
      <c r="P916" s="10"/>
      <c r="Q916" s="10"/>
      <c r="R916" s="10"/>
    </row>
    <row r="917">
      <c r="C917" s="10"/>
      <c r="E917" s="10"/>
      <c r="G917" s="82"/>
      <c r="I917" s="10"/>
      <c r="J917" s="10"/>
      <c r="K917" s="10"/>
      <c r="L917" s="10"/>
      <c r="M917" s="10"/>
      <c r="N917" s="10"/>
      <c r="O917" s="10"/>
      <c r="P917" s="10"/>
      <c r="Q917" s="10"/>
      <c r="R917" s="10"/>
    </row>
    <row r="918">
      <c r="C918" s="10"/>
      <c r="E918" s="10"/>
      <c r="G918" s="82"/>
      <c r="I918" s="10"/>
      <c r="J918" s="10"/>
      <c r="K918" s="10"/>
      <c r="L918" s="10"/>
      <c r="M918" s="10"/>
      <c r="N918" s="10"/>
      <c r="O918" s="10"/>
      <c r="P918" s="10"/>
      <c r="Q918" s="10"/>
      <c r="R918" s="10"/>
    </row>
    <row r="919">
      <c r="C919" s="10"/>
      <c r="E919" s="10"/>
      <c r="G919" s="82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>
      <c r="C920" s="10"/>
      <c r="E920" s="10"/>
      <c r="G920" s="82"/>
      <c r="I920" s="10"/>
      <c r="J920" s="10"/>
      <c r="K920" s="10"/>
      <c r="L920" s="10"/>
      <c r="M920" s="10"/>
      <c r="N920" s="10"/>
      <c r="O920" s="10"/>
      <c r="P920" s="10"/>
      <c r="Q920" s="10"/>
      <c r="R920" s="10"/>
    </row>
    <row r="921">
      <c r="C921" s="10"/>
      <c r="E921" s="10"/>
      <c r="G921" s="82"/>
      <c r="I921" s="10"/>
      <c r="J921" s="10"/>
      <c r="K921" s="10"/>
      <c r="L921" s="10"/>
      <c r="M921" s="10"/>
      <c r="N921" s="10"/>
      <c r="O921" s="10"/>
      <c r="P921" s="10"/>
      <c r="Q921" s="10"/>
      <c r="R921" s="10"/>
    </row>
    <row r="922">
      <c r="C922" s="10"/>
      <c r="E922" s="10"/>
      <c r="G922" s="82"/>
      <c r="I922" s="10"/>
      <c r="J922" s="10"/>
      <c r="K922" s="10"/>
      <c r="L922" s="10"/>
      <c r="M922" s="10"/>
      <c r="N922" s="10"/>
      <c r="O922" s="10"/>
      <c r="P922" s="10"/>
      <c r="Q922" s="10"/>
      <c r="R922" s="10"/>
    </row>
    <row r="923">
      <c r="C923" s="10"/>
      <c r="E923" s="10"/>
      <c r="G923" s="82"/>
      <c r="I923" s="10"/>
      <c r="J923" s="10"/>
      <c r="K923" s="10"/>
      <c r="L923" s="10"/>
      <c r="M923" s="10"/>
      <c r="N923" s="10"/>
      <c r="O923" s="10"/>
      <c r="P923" s="10"/>
      <c r="Q923" s="10"/>
      <c r="R923" s="10"/>
    </row>
    <row r="924">
      <c r="C924" s="10"/>
      <c r="E924" s="10"/>
      <c r="G924" s="82"/>
      <c r="I924" s="10"/>
      <c r="J924" s="10"/>
      <c r="K924" s="10"/>
      <c r="L924" s="10"/>
      <c r="M924" s="10"/>
      <c r="N924" s="10"/>
      <c r="O924" s="10"/>
      <c r="P924" s="10"/>
      <c r="Q924" s="10"/>
      <c r="R924" s="10"/>
    </row>
    <row r="925">
      <c r="C925" s="10"/>
      <c r="E925" s="10"/>
      <c r="G925" s="82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>
      <c r="C926" s="10"/>
      <c r="E926" s="10"/>
      <c r="G926" s="82"/>
      <c r="I926" s="10"/>
      <c r="J926" s="10"/>
      <c r="K926" s="10"/>
      <c r="L926" s="10"/>
      <c r="M926" s="10"/>
      <c r="N926" s="10"/>
      <c r="O926" s="10"/>
      <c r="P926" s="10"/>
      <c r="Q926" s="10"/>
      <c r="R926" s="10"/>
    </row>
    <row r="927">
      <c r="C927" s="10"/>
      <c r="E927" s="10"/>
      <c r="G927" s="82"/>
      <c r="I927" s="10"/>
      <c r="J927" s="10"/>
      <c r="K927" s="10"/>
      <c r="L927" s="10"/>
      <c r="M927" s="10"/>
      <c r="N927" s="10"/>
      <c r="O927" s="10"/>
      <c r="P927" s="10"/>
      <c r="Q927" s="10"/>
      <c r="R927" s="10"/>
    </row>
    <row r="928">
      <c r="C928" s="10"/>
      <c r="E928" s="10"/>
      <c r="G928" s="82"/>
      <c r="I928" s="10"/>
      <c r="J928" s="10"/>
      <c r="K928" s="10"/>
      <c r="L928" s="10"/>
      <c r="M928" s="10"/>
      <c r="N928" s="10"/>
      <c r="O928" s="10"/>
      <c r="P928" s="10"/>
      <c r="Q928" s="10"/>
      <c r="R928" s="10"/>
    </row>
    <row r="929">
      <c r="C929" s="10"/>
      <c r="E929" s="10"/>
      <c r="G929" s="82"/>
      <c r="I929" s="10"/>
      <c r="J929" s="10"/>
      <c r="K929" s="10"/>
      <c r="L929" s="10"/>
      <c r="M929" s="10"/>
      <c r="N929" s="10"/>
      <c r="O929" s="10"/>
      <c r="P929" s="10"/>
      <c r="Q929" s="10"/>
      <c r="R929" s="10"/>
    </row>
    <row r="930">
      <c r="C930" s="10"/>
      <c r="E930" s="10"/>
      <c r="G930" s="82"/>
      <c r="I930" s="10"/>
      <c r="J930" s="10"/>
      <c r="K930" s="10"/>
      <c r="L930" s="10"/>
      <c r="M930" s="10"/>
      <c r="N930" s="10"/>
      <c r="O930" s="10"/>
      <c r="P930" s="10"/>
      <c r="Q930" s="10"/>
      <c r="R930" s="10"/>
    </row>
    <row r="931">
      <c r="C931" s="10"/>
      <c r="E931" s="10"/>
      <c r="G931" s="82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>
      <c r="C932" s="10"/>
      <c r="E932" s="10"/>
      <c r="G932" s="82"/>
      <c r="I932" s="10"/>
      <c r="J932" s="10"/>
      <c r="K932" s="10"/>
      <c r="L932" s="10"/>
      <c r="M932" s="10"/>
      <c r="N932" s="10"/>
      <c r="O932" s="10"/>
      <c r="P932" s="10"/>
      <c r="Q932" s="10"/>
      <c r="R932" s="10"/>
    </row>
    <row r="933">
      <c r="C933" s="10"/>
      <c r="E933" s="10"/>
      <c r="G933" s="82"/>
      <c r="I933" s="10"/>
      <c r="J933" s="10"/>
      <c r="K933" s="10"/>
      <c r="L933" s="10"/>
      <c r="M933" s="10"/>
      <c r="N933" s="10"/>
      <c r="O933" s="10"/>
      <c r="P933" s="10"/>
      <c r="Q933" s="10"/>
      <c r="R933" s="10"/>
    </row>
    <row r="934">
      <c r="C934" s="10"/>
      <c r="E934" s="10"/>
      <c r="G934" s="82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>
      <c r="C935" s="10"/>
      <c r="E935" s="10"/>
      <c r="G935" s="82"/>
      <c r="I935" s="10"/>
      <c r="J935" s="10"/>
      <c r="K935" s="10"/>
      <c r="L935" s="10"/>
      <c r="M935" s="10"/>
      <c r="N935" s="10"/>
      <c r="O935" s="10"/>
      <c r="P935" s="10"/>
      <c r="Q935" s="10"/>
      <c r="R935" s="10"/>
    </row>
    <row r="936">
      <c r="C936" s="10"/>
      <c r="E936" s="10"/>
      <c r="G936" s="82"/>
      <c r="I936" s="10"/>
      <c r="J936" s="10"/>
      <c r="K936" s="10"/>
      <c r="L936" s="10"/>
      <c r="M936" s="10"/>
      <c r="N936" s="10"/>
      <c r="O936" s="10"/>
      <c r="P936" s="10"/>
      <c r="Q936" s="10"/>
      <c r="R936" s="10"/>
    </row>
    <row r="937">
      <c r="C937" s="10"/>
      <c r="E937" s="10"/>
      <c r="G937" s="82"/>
      <c r="I937" s="10"/>
      <c r="J937" s="10"/>
      <c r="K937" s="10"/>
      <c r="L937" s="10"/>
      <c r="M937" s="10"/>
      <c r="N937" s="10"/>
      <c r="O937" s="10"/>
      <c r="P937" s="10"/>
      <c r="Q937" s="10"/>
      <c r="R937" s="10"/>
    </row>
    <row r="938">
      <c r="C938" s="10"/>
      <c r="E938" s="10"/>
      <c r="G938" s="82"/>
      <c r="I938" s="10"/>
      <c r="J938" s="10"/>
      <c r="K938" s="10"/>
      <c r="L938" s="10"/>
      <c r="M938" s="10"/>
      <c r="N938" s="10"/>
      <c r="O938" s="10"/>
      <c r="P938" s="10"/>
      <c r="Q938" s="10"/>
      <c r="R938" s="10"/>
    </row>
    <row r="939">
      <c r="C939" s="10"/>
      <c r="E939" s="10"/>
      <c r="G939" s="82"/>
      <c r="I939" s="10"/>
      <c r="J939" s="10"/>
      <c r="K939" s="10"/>
      <c r="L939" s="10"/>
      <c r="M939" s="10"/>
      <c r="N939" s="10"/>
      <c r="O939" s="10"/>
      <c r="P939" s="10"/>
      <c r="Q939" s="10"/>
      <c r="R939" s="10"/>
    </row>
    <row r="940">
      <c r="C940" s="10"/>
      <c r="E940" s="10"/>
      <c r="G940" s="82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>
      <c r="C941" s="10"/>
      <c r="E941" s="10"/>
      <c r="G941" s="82"/>
      <c r="I941" s="10"/>
      <c r="J941" s="10"/>
      <c r="K941" s="10"/>
      <c r="L941" s="10"/>
      <c r="M941" s="10"/>
      <c r="N941" s="10"/>
      <c r="O941" s="10"/>
      <c r="P941" s="10"/>
      <c r="Q941" s="10"/>
      <c r="R941" s="10"/>
    </row>
    <row r="942">
      <c r="C942" s="10"/>
      <c r="E942" s="10"/>
      <c r="G942" s="82"/>
      <c r="I942" s="10"/>
      <c r="J942" s="10"/>
      <c r="K942" s="10"/>
      <c r="L942" s="10"/>
      <c r="M942" s="10"/>
      <c r="N942" s="10"/>
      <c r="O942" s="10"/>
      <c r="P942" s="10"/>
      <c r="Q942" s="10"/>
      <c r="R942" s="10"/>
    </row>
    <row r="943">
      <c r="C943" s="10"/>
      <c r="E943" s="10"/>
      <c r="G943" s="82"/>
      <c r="I943" s="10"/>
      <c r="J943" s="10"/>
      <c r="K943" s="10"/>
      <c r="L943" s="10"/>
      <c r="M943" s="10"/>
      <c r="N943" s="10"/>
      <c r="O943" s="10"/>
      <c r="P943" s="10"/>
      <c r="Q943" s="10"/>
      <c r="R943" s="10"/>
    </row>
    <row r="944">
      <c r="C944" s="10"/>
      <c r="E944" s="10"/>
      <c r="G944" s="82"/>
      <c r="I944" s="10"/>
      <c r="J944" s="10"/>
      <c r="K944" s="10"/>
      <c r="L944" s="10"/>
      <c r="M944" s="10"/>
      <c r="N944" s="10"/>
      <c r="O944" s="10"/>
      <c r="P944" s="10"/>
      <c r="Q944" s="10"/>
      <c r="R944" s="10"/>
    </row>
    <row r="945">
      <c r="C945" s="10"/>
      <c r="E945" s="10"/>
      <c r="G945" s="82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>
      <c r="C946" s="10"/>
      <c r="E946" s="10"/>
      <c r="G946" s="82"/>
      <c r="I946" s="10"/>
      <c r="J946" s="10"/>
      <c r="K946" s="10"/>
      <c r="L946" s="10"/>
      <c r="M946" s="10"/>
      <c r="N946" s="10"/>
      <c r="O946" s="10"/>
      <c r="P946" s="10"/>
      <c r="Q946" s="10"/>
      <c r="R946" s="10"/>
    </row>
    <row r="947">
      <c r="C947" s="10"/>
      <c r="E947" s="10"/>
      <c r="G947" s="82"/>
      <c r="I947" s="10"/>
      <c r="J947" s="10"/>
      <c r="K947" s="10"/>
      <c r="L947" s="10"/>
      <c r="M947" s="10"/>
      <c r="N947" s="10"/>
      <c r="O947" s="10"/>
      <c r="P947" s="10"/>
      <c r="Q947" s="10"/>
      <c r="R947" s="10"/>
    </row>
    <row r="948">
      <c r="C948" s="10"/>
      <c r="E948" s="10"/>
      <c r="G948" s="82"/>
      <c r="I948" s="10"/>
      <c r="J948" s="10"/>
      <c r="K948" s="10"/>
      <c r="L948" s="10"/>
      <c r="M948" s="10"/>
      <c r="N948" s="10"/>
      <c r="O948" s="10"/>
      <c r="P948" s="10"/>
      <c r="Q948" s="10"/>
      <c r="R948" s="10"/>
    </row>
    <row r="949">
      <c r="C949" s="10"/>
      <c r="E949" s="10"/>
      <c r="G949" s="82"/>
      <c r="I949" s="10"/>
      <c r="J949" s="10"/>
      <c r="K949" s="10"/>
      <c r="L949" s="10"/>
      <c r="M949" s="10"/>
      <c r="N949" s="10"/>
      <c r="O949" s="10"/>
      <c r="P949" s="10"/>
      <c r="Q949" s="10"/>
      <c r="R949" s="10"/>
    </row>
    <row r="950">
      <c r="C950" s="10"/>
      <c r="E950" s="10"/>
      <c r="G950" s="82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>
      <c r="C951" s="10"/>
      <c r="E951" s="10"/>
      <c r="G951" s="82"/>
      <c r="I951" s="10"/>
      <c r="J951" s="10"/>
      <c r="K951" s="10"/>
      <c r="L951" s="10"/>
      <c r="M951" s="10"/>
      <c r="N951" s="10"/>
      <c r="O951" s="10"/>
      <c r="P951" s="10"/>
      <c r="Q951" s="10"/>
      <c r="R951" s="10"/>
    </row>
    <row r="952">
      <c r="C952" s="10"/>
      <c r="E952" s="10"/>
      <c r="G952" s="82"/>
      <c r="I952" s="10"/>
      <c r="J952" s="10"/>
      <c r="K952" s="10"/>
      <c r="L952" s="10"/>
      <c r="M952" s="10"/>
      <c r="N952" s="10"/>
      <c r="O952" s="10"/>
      <c r="P952" s="10"/>
      <c r="Q952" s="10"/>
      <c r="R952" s="10"/>
    </row>
    <row r="953">
      <c r="C953" s="10"/>
      <c r="E953" s="10"/>
      <c r="G953" s="82"/>
      <c r="I953" s="10"/>
      <c r="J953" s="10"/>
      <c r="K953" s="10"/>
      <c r="L953" s="10"/>
      <c r="M953" s="10"/>
      <c r="N953" s="10"/>
      <c r="O953" s="10"/>
      <c r="P953" s="10"/>
      <c r="Q953" s="10"/>
      <c r="R953" s="10"/>
    </row>
    <row r="954">
      <c r="C954" s="10"/>
      <c r="E954" s="10"/>
      <c r="G954" s="82"/>
      <c r="I954" s="10"/>
      <c r="J954" s="10"/>
      <c r="K954" s="10"/>
      <c r="L954" s="10"/>
      <c r="M954" s="10"/>
      <c r="N954" s="10"/>
      <c r="O954" s="10"/>
      <c r="P954" s="10"/>
      <c r="Q954" s="10"/>
      <c r="R954" s="10"/>
    </row>
    <row r="955">
      <c r="C955" s="10"/>
      <c r="E955" s="10"/>
      <c r="G955" s="82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>
      <c r="C956" s="10"/>
      <c r="E956" s="10"/>
      <c r="G956" s="82"/>
      <c r="I956" s="10"/>
      <c r="J956" s="10"/>
      <c r="K956" s="10"/>
      <c r="L956" s="10"/>
      <c r="M956" s="10"/>
      <c r="N956" s="10"/>
      <c r="O956" s="10"/>
      <c r="P956" s="10"/>
      <c r="Q956" s="10"/>
      <c r="R956" s="10"/>
    </row>
    <row r="957">
      <c r="C957" s="10"/>
      <c r="E957" s="10"/>
      <c r="G957" s="82"/>
      <c r="I957" s="10"/>
      <c r="J957" s="10"/>
      <c r="K957" s="10"/>
      <c r="L957" s="10"/>
      <c r="M957" s="10"/>
      <c r="N957" s="10"/>
      <c r="O957" s="10"/>
      <c r="P957" s="10"/>
      <c r="Q957" s="10"/>
      <c r="R957" s="10"/>
    </row>
    <row r="958">
      <c r="C958" s="10"/>
      <c r="E958" s="10"/>
      <c r="G958" s="82"/>
      <c r="I958" s="10"/>
      <c r="J958" s="10"/>
      <c r="K958" s="10"/>
      <c r="L958" s="10"/>
      <c r="M958" s="10"/>
      <c r="N958" s="10"/>
      <c r="O958" s="10"/>
      <c r="P958" s="10"/>
      <c r="Q958" s="10"/>
      <c r="R958" s="10"/>
    </row>
    <row r="959">
      <c r="C959" s="10"/>
      <c r="E959" s="10"/>
      <c r="G959" s="82"/>
      <c r="I959" s="10"/>
      <c r="J959" s="10"/>
      <c r="K959" s="10"/>
      <c r="L959" s="10"/>
      <c r="M959" s="10"/>
      <c r="N959" s="10"/>
      <c r="O959" s="10"/>
      <c r="P959" s="10"/>
      <c r="Q959" s="10"/>
      <c r="R959" s="10"/>
    </row>
    <row r="960">
      <c r="C960" s="10"/>
      <c r="E960" s="10"/>
      <c r="G960" s="82"/>
      <c r="I960" s="10"/>
      <c r="J960" s="10"/>
      <c r="K960" s="10"/>
      <c r="L960" s="10"/>
      <c r="M960" s="10"/>
      <c r="N960" s="10"/>
      <c r="O960" s="10"/>
      <c r="P960" s="10"/>
      <c r="Q960" s="10"/>
      <c r="R960" s="10"/>
    </row>
    <row r="961">
      <c r="C961" s="10"/>
      <c r="E961" s="10"/>
      <c r="G961" s="82"/>
      <c r="I961" s="10"/>
      <c r="J961" s="10"/>
      <c r="K961" s="10"/>
      <c r="L961" s="10"/>
      <c r="M961" s="10"/>
      <c r="N961" s="10"/>
      <c r="O961" s="10"/>
      <c r="P961" s="10"/>
      <c r="Q961" s="10"/>
      <c r="R961" s="10"/>
    </row>
    <row r="962">
      <c r="C962" s="10"/>
      <c r="E962" s="10"/>
      <c r="G962" s="82"/>
      <c r="I962" s="10"/>
      <c r="J962" s="10"/>
      <c r="K962" s="10"/>
      <c r="L962" s="10"/>
      <c r="M962" s="10"/>
      <c r="N962" s="10"/>
      <c r="O962" s="10"/>
      <c r="P962" s="10"/>
      <c r="Q962" s="10"/>
      <c r="R962" s="10"/>
    </row>
    <row r="963">
      <c r="C963" s="10"/>
      <c r="E963" s="10"/>
      <c r="G963" s="82"/>
      <c r="I963" s="10"/>
      <c r="J963" s="10"/>
      <c r="K963" s="10"/>
      <c r="L963" s="10"/>
      <c r="M963" s="10"/>
      <c r="N963" s="10"/>
      <c r="O963" s="10"/>
      <c r="P963" s="10"/>
      <c r="Q963" s="10"/>
      <c r="R963" s="10"/>
    </row>
    <row r="964">
      <c r="C964" s="10"/>
      <c r="E964" s="10"/>
      <c r="G964" s="82"/>
      <c r="I964" s="10"/>
      <c r="J964" s="10"/>
      <c r="K964" s="10"/>
      <c r="L964" s="10"/>
      <c r="M964" s="10"/>
      <c r="N964" s="10"/>
      <c r="O964" s="10"/>
      <c r="P964" s="10"/>
      <c r="Q964" s="10"/>
      <c r="R964" s="10"/>
    </row>
    <row r="965">
      <c r="C965" s="10"/>
      <c r="E965" s="10"/>
      <c r="G965" s="82"/>
      <c r="I965" s="10"/>
      <c r="J965" s="10"/>
      <c r="K965" s="10"/>
      <c r="L965" s="10"/>
      <c r="M965" s="10"/>
      <c r="N965" s="10"/>
      <c r="O965" s="10"/>
      <c r="P965" s="10"/>
      <c r="Q965" s="10"/>
      <c r="R965" s="10"/>
    </row>
    <row r="966">
      <c r="C966" s="10"/>
      <c r="E966" s="10"/>
      <c r="G966" s="82"/>
      <c r="I966" s="10"/>
      <c r="J966" s="10"/>
      <c r="K966" s="10"/>
      <c r="L966" s="10"/>
      <c r="M966" s="10"/>
      <c r="N966" s="10"/>
      <c r="O966" s="10"/>
      <c r="P966" s="10"/>
      <c r="Q966" s="10"/>
      <c r="R966" s="10"/>
    </row>
    <row r="967">
      <c r="C967" s="10"/>
      <c r="E967" s="10"/>
      <c r="G967" s="82"/>
      <c r="I967" s="10"/>
      <c r="J967" s="10"/>
      <c r="K967" s="10"/>
      <c r="L967" s="10"/>
      <c r="M967" s="10"/>
      <c r="N967" s="10"/>
      <c r="O967" s="10"/>
      <c r="P967" s="10"/>
      <c r="Q967" s="10"/>
      <c r="R967" s="10"/>
    </row>
    <row r="968">
      <c r="C968" s="10"/>
      <c r="E968" s="10"/>
      <c r="G968" s="82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>
      <c r="C969" s="10"/>
      <c r="E969" s="10"/>
      <c r="G969" s="82"/>
      <c r="I969" s="10"/>
      <c r="J969" s="10"/>
      <c r="K969" s="10"/>
      <c r="L969" s="10"/>
      <c r="M969" s="10"/>
      <c r="N969" s="10"/>
      <c r="O969" s="10"/>
      <c r="P969" s="10"/>
      <c r="Q969" s="10"/>
      <c r="R969" s="10"/>
    </row>
    <row r="970">
      <c r="C970" s="10"/>
      <c r="E970" s="10"/>
      <c r="G970" s="82"/>
      <c r="I970" s="10"/>
      <c r="J970" s="10"/>
      <c r="K970" s="10"/>
      <c r="L970" s="10"/>
      <c r="M970" s="10"/>
      <c r="N970" s="10"/>
      <c r="O970" s="10"/>
      <c r="P970" s="10"/>
      <c r="Q970" s="10"/>
      <c r="R970" s="10"/>
    </row>
    <row r="971">
      <c r="C971" s="10"/>
      <c r="E971" s="10"/>
      <c r="G971" s="82"/>
      <c r="I971" s="10"/>
      <c r="J971" s="10"/>
      <c r="K971" s="10"/>
      <c r="L971" s="10"/>
      <c r="M971" s="10"/>
      <c r="N971" s="10"/>
      <c r="O971" s="10"/>
      <c r="P971" s="10"/>
      <c r="Q971" s="10"/>
      <c r="R971" s="10"/>
    </row>
    <row r="972">
      <c r="C972" s="10"/>
      <c r="E972" s="10"/>
      <c r="G972" s="82"/>
      <c r="I972" s="10"/>
      <c r="J972" s="10"/>
      <c r="K972" s="10"/>
      <c r="L972" s="10"/>
      <c r="M972" s="10"/>
      <c r="N972" s="10"/>
      <c r="O972" s="10"/>
      <c r="P972" s="10"/>
      <c r="Q972" s="10"/>
      <c r="R972" s="10"/>
    </row>
    <row r="973">
      <c r="C973" s="10"/>
      <c r="E973" s="10"/>
      <c r="G973" s="82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>
      <c r="C974" s="10"/>
      <c r="E974" s="10"/>
      <c r="G974" s="82"/>
      <c r="I974" s="10"/>
      <c r="J974" s="10"/>
      <c r="K974" s="10"/>
      <c r="L974" s="10"/>
      <c r="M974" s="10"/>
      <c r="N974" s="10"/>
      <c r="O974" s="10"/>
      <c r="P974" s="10"/>
      <c r="Q974" s="10"/>
      <c r="R974" s="10"/>
    </row>
    <row r="975">
      <c r="C975" s="10"/>
      <c r="E975" s="10"/>
      <c r="G975" s="82"/>
      <c r="I975" s="10"/>
      <c r="J975" s="10"/>
      <c r="K975" s="10"/>
      <c r="L975" s="10"/>
      <c r="M975" s="10"/>
      <c r="N975" s="10"/>
      <c r="O975" s="10"/>
      <c r="P975" s="10"/>
      <c r="Q975" s="10"/>
      <c r="R975" s="10"/>
    </row>
    <row r="976">
      <c r="C976" s="10"/>
      <c r="E976" s="10"/>
      <c r="G976" s="82"/>
      <c r="I976" s="10"/>
      <c r="J976" s="10"/>
      <c r="K976" s="10"/>
      <c r="L976" s="10"/>
      <c r="M976" s="10"/>
      <c r="N976" s="10"/>
      <c r="O976" s="10"/>
      <c r="P976" s="10"/>
      <c r="Q976" s="10"/>
      <c r="R976" s="10"/>
    </row>
    <row r="977">
      <c r="C977" s="10"/>
      <c r="E977" s="10"/>
      <c r="G977" s="82"/>
      <c r="I977" s="10"/>
      <c r="J977" s="10"/>
      <c r="K977" s="10"/>
      <c r="L977" s="10"/>
      <c r="M977" s="10"/>
      <c r="N977" s="10"/>
      <c r="O977" s="10"/>
      <c r="P977" s="10"/>
      <c r="Q977" s="10"/>
      <c r="R977" s="10"/>
    </row>
    <row r="978">
      <c r="C978" s="10"/>
      <c r="E978" s="10"/>
      <c r="G978" s="82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>
      <c r="C979" s="10"/>
      <c r="E979" s="10"/>
      <c r="G979" s="82"/>
      <c r="I979" s="10"/>
      <c r="J979" s="10"/>
      <c r="K979" s="10"/>
      <c r="L979" s="10"/>
      <c r="M979" s="10"/>
      <c r="N979" s="10"/>
      <c r="O979" s="10"/>
      <c r="P979" s="10"/>
      <c r="Q979" s="10"/>
      <c r="R979" s="10"/>
    </row>
    <row r="980">
      <c r="C980" s="10"/>
      <c r="E980" s="10"/>
      <c r="G980" s="82"/>
      <c r="I980" s="10"/>
      <c r="J980" s="10"/>
      <c r="K980" s="10"/>
      <c r="L980" s="10"/>
      <c r="M980" s="10"/>
      <c r="N980" s="10"/>
      <c r="O980" s="10"/>
      <c r="P980" s="10"/>
      <c r="Q980" s="10"/>
      <c r="R980" s="10"/>
    </row>
    <row r="981">
      <c r="C981" s="10"/>
      <c r="E981" s="10"/>
      <c r="G981" s="82"/>
      <c r="I981" s="10"/>
      <c r="J981" s="10"/>
      <c r="K981" s="10"/>
      <c r="L981" s="10"/>
      <c r="M981" s="10"/>
      <c r="N981" s="10"/>
      <c r="O981" s="10"/>
      <c r="P981" s="10"/>
      <c r="Q981" s="10"/>
      <c r="R981" s="10"/>
    </row>
    <row r="982">
      <c r="C982" s="10"/>
      <c r="E982" s="10"/>
      <c r="G982" s="82"/>
      <c r="I982" s="10"/>
      <c r="J982" s="10"/>
      <c r="K982" s="10"/>
      <c r="L982" s="10"/>
      <c r="M982" s="10"/>
      <c r="N982" s="10"/>
      <c r="O982" s="10"/>
      <c r="P982" s="10"/>
      <c r="Q982" s="10"/>
      <c r="R982" s="10"/>
    </row>
    <row r="983">
      <c r="C983" s="10"/>
      <c r="E983" s="10"/>
      <c r="G983" s="82"/>
      <c r="I983" s="10"/>
      <c r="J983" s="10"/>
      <c r="K983" s="10"/>
      <c r="L983" s="10"/>
      <c r="M983" s="10"/>
      <c r="N983" s="10"/>
      <c r="O983" s="10"/>
      <c r="P983" s="10"/>
      <c r="Q983" s="10"/>
      <c r="R983" s="10"/>
    </row>
    <row r="984">
      <c r="C984" s="10"/>
      <c r="E984" s="10"/>
      <c r="G984" s="82"/>
      <c r="I984" s="10"/>
      <c r="J984" s="10"/>
      <c r="K984" s="10"/>
      <c r="L984" s="10"/>
      <c r="M984" s="10"/>
      <c r="N984" s="10"/>
      <c r="O984" s="10"/>
      <c r="P984" s="10"/>
      <c r="Q984" s="10"/>
      <c r="R984" s="10"/>
    </row>
    <row r="985">
      <c r="C985" s="10"/>
      <c r="E985" s="10"/>
      <c r="G985" s="82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>
      <c r="C986" s="10"/>
      <c r="E986" s="10"/>
      <c r="G986" s="82"/>
      <c r="I986" s="10"/>
      <c r="J986" s="10"/>
      <c r="K986" s="10"/>
      <c r="L986" s="10"/>
      <c r="M986" s="10"/>
      <c r="N986" s="10"/>
      <c r="O986" s="10"/>
      <c r="P986" s="10"/>
      <c r="Q986" s="10"/>
      <c r="R986" s="10"/>
    </row>
    <row r="987">
      <c r="C987" s="10"/>
      <c r="E987" s="10"/>
      <c r="G987" s="82"/>
      <c r="I987" s="10"/>
      <c r="J987" s="10"/>
      <c r="K987" s="10"/>
      <c r="L987" s="10"/>
      <c r="M987" s="10"/>
      <c r="N987" s="10"/>
      <c r="O987" s="10"/>
      <c r="P987" s="10"/>
      <c r="Q987" s="10"/>
      <c r="R987" s="10"/>
    </row>
    <row r="988">
      <c r="C988" s="10"/>
      <c r="E988" s="10"/>
      <c r="G988" s="82"/>
      <c r="I988" s="10"/>
      <c r="J988" s="10"/>
      <c r="K988" s="10"/>
      <c r="L988" s="10"/>
      <c r="M988" s="10"/>
      <c r="N988" s="10"/>
      <c r="O988" s="10"/>
      <c r="P988" s="10"/>
      <c r="Q988" s="10"/>
      <c r="R988" s="10"/>
    </row>
    <row r="989">
      <c r="C989" s="10"/>
      <c r="E989" s="10"/>
      <c r="G989" s="82"/>
      <c r="I989" s="10"/>
      <c r="J989" s="10"/>
      <c r="K989" s="10"/>
      <c r="L989" s="10"/>
      <c r="M989" s="10"/>
      <c r="N989" s="10"/>
      <c r="O989" s="10"/>
      <c r="P989" s="10"/>
      <c r="Q989" s="10"/>
      <c r="R989" s="10"/>
    </row>
    <row r="990">
      <c r="C990" s="10"/>
      <c r="E990" s="10"/>
      <c r="G990" s="82"/>
      <c r="I990" s="10"/>
      <c r="J990" s="10"/>
      <c r="K990" s="10"/>
      <c r="L990" s="10"/>
      <c r="M990" s="10"/>
      <c r="N990" s="10"/>
      <c r="O990" s="10"/>
      <c r="P990" s="10"/>
      <c r="Q990" s="10"/>
      <c r="R990" s="10"/>
    </row>
    <row r="991">
      <c r="C991" s="10"/>
      <c r="E991" s="10"/>
      <c r="G991" s="82"/>
      <c r="I991" s="10"/>
      <c r="J991" s="10"/>
      <c r="K991" s="10"/>
      <c r="L991" s="10"/>
      <c r="M991" s="10"/>
      <c r="N991" s="10"/>
      <c r="O991" s="10"/>
      <c r="P991" s="10"/>
      <c r="Q991" s="10"/>
      <c r="R991" s="10"/>
    </row>
    <row r="992">
      <c r="C992" s="10"/>
      <c r="E992" s="10"/>
      <c r="G992" s="82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>
      <c r="C993" s="10"/>
      <c r="E993" s="10"/>
      <c r="G993" s="82"/>
      <c r="I993" s="10"/>
      <c r="J993" s="10"/>
      <c r="K993" s="10"/>
      <c r="L993" s="10"/>
      <c r="M993" s="10"/>
      <c r="N993" s="10"/>
      <c r="O993" s="10"/>
      <c r="P993" s="10"/>
      <c r="Q993" s="10"/>
      <c r="R993" s="10"/>
    </row>
    <row r="994">
      <c r="C994" s="10"/>
      <c r="E994" s="10"/>
      <c r="G994" s="82"/>
      <c r="I994" s="10"/>
      <c r="J994" s="10"/>
      <c r="K994" s="10"/>
      <c r="L994" s="10"/>
      <c r="M994" s="10"/>
      <c r="N994" s="10"/>
      <c r="O994" s="10"/>
      <c r="P994" s="10"/>
      <c r="Q994" s="10"/>
      <c r="R994" s="10"/>
    </row>
    <row r="995">
      <c r="C995" s="10"/>
      <c r="E995" s="10"/>
      <c r="G995" s="82"/>
      <c r="I995" s="10"/>
      <c r="J995" s="10"/>
      <c r="K995" s="10"/>
      <c r="L995" s="10"/>
      <c r="M995" s="10"/>
      <c r="N995" s="10"/>
      <c r="O995" s="10"/>
      <c r="P995" s="10"/>
      <c r="Q995" s="10"/>
      <c r="R995" s="10"/>
    </row>
    <row r="996">
      <c r="C996" s="10"/>
      <c r="E996" s="10"/>
      <c r="G996" s="82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>
      <c r="C997" s="10"/>
      <c r="E997" s="10"/>
      <c r="G997" s="82"/>
      <c r="I997" s="10"/>
      <c r="J997" s="10"/>
      <c r="K997" s="10"/>
      <c r="L997" s="10"/>
      <c r="M997" s="10"/>
      <c r="N997" s="10"/>
      <c r="O997" s="10"/>
      <c r="P997" s="10"/>
      <c r="Q997" s="10"/>
      <c r="R997" s="10"/>
    </row>
    <row r="998">
      <c r="C998" s="10"/>
      <c r="E998" s="10"/>
      <c r="G998" s="82"/>
      <c r="I998" s="10"/>
      <c r="J998" s="10"/>
      <c r="K998" s="10"/>
      <c r="L998" s="10"/>
      <c r="M998" s="10"/>
      <c r="N998" s="10"/>
      <c r="O998" s="10"/>
      <c r="P998" s="10"/>
      <c r="Q998" s="10"/>
      <c r="R998" s="10"/>
    </row>
    <row r="999">
      <c r="C999" s="10"/>
      <c r="E999" s="10"/>
      <c r="G999" s="82"/>
      <c r="I999" s="10"/>
      <c r="J999" s="10"/>
      <c r="K999" s="10"/>
      <c r="L999" s="10"/>
      <c r="M999" s="10"/>
      <c r="N999" s="10"/>
      <c r="O999" s="10"/>
      <c r="P999" s="10"/>
      <c r="Q999" s="10"/>
      <c r="R999" s="10"/>
    </row>
    <row r="1000">
      <c r="C1000" s="10"/>
      <c r="E1000" s="10"/>
      <c r="G1000" s="82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</row>
    <row r="1001">
      <c r="C1001" s="10"/>
      <c r="E1001" s="10"/>
      <c r="G1001" s="82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</row>
    <row r="1002">
      <c r="C1002" s="10"/>
      <c r="E1002" s="10"/>
      <c r="G1002" s="82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</row>
    <row r="1003">
      <c r="C1003" s="10"/>
      <c r="E1003" s="10"/>
      <c r="G1003" s="82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</row>
    <row r="1004">
      <c r="C1004" s="10"/>
      <c r="E1004" s="10"/>
      <c r="G1004" s="82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</row>
    <row r="1005">
      <c r="C1005" s="10"/>
      <c r="E1005" s="10"/>
      <c r="G1005" s="82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</row>
    <row r="1006">
      <c r="C1006" s="10"/>
      <c r="E1006" s="10"/>
      <c r="G1006" s="82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</row>
    <row r="1007">
      <c r="C1007" s="10"/>
      <c r="E1007" s="10"/>
      <c r="G1007" s="82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</row>
    <row r="1008">
      <c r="C1008" s="10"/>
      <c r="E1008" s="10"/>
      <c r="G1008" s="82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</row>
    <row r="1009">
      <c r="C1009" s="10"/>
      <c r="E1009" s="10"/>
      <c r="G1009" s="82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</row>
    <row r="1010">
      <c r="C1010" s="10"/>
      <c r="E1010" s="10"/>
      <c r="G1010" s="82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</row>
    <row r="1011">
      <c r="C1011" s="10"/>
      <c r="E1011" s="10"/>
      <c r="G1011" s="82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</row>
    <row r="1012">
      <c r="C1012" s="10"/>
      <c r="E1012" s="10"/>
      <c r="G1012" s="82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</row>
    <row r="1013">
      <c r="C1013" s="10"/>
      <c r="E1013" s="10"/>
      <c r="G1013" s="82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</row>
    <row r="1014">
      <c r="C1014" s="10"/>
      <c r="E1014" s="10"/>
      <c r="G1014" s="82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</row>
    <row r="1015">
      <c r="C1015" s="10"/>
      <c r="E1015" s="10"/>
      <c r="G1015" s="82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</row>
    <row r="1016">
      <c r="C1016" s="10"/>
      <c r="E1016" s="10"/>
      <c r="G1016" s="82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</row>
    <row r="1017">
      <c r="C1017" s="10"/>
      <c r="E1017" s="10"/>
      <c r="G1017" s="82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</row>
    <row r="1018">
      <c r="C1018" s="10"/>
      <c r="E1018" s="10"/>
      <c r="G1018" s="82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</row>
    <row r="1019">
      <c r="C1019" s="10"/>
      <c r="E1019" s="10"/>
      <c r="G1019" s="82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</row>
    <row r="1020">
      <c r="C1020" s="10"/>
      <c r="E1020" s="10"/>
      <c r="G1020" s="82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</row>
    <row r="1021">
      <c r="C1021" s="10"/>
      <c r="E1021" s="10"/>
      <c r="G1021" s="82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</row>
    <row r="1022">
      <c r="C1022" s="10"/>
      <c r="E1022" s="10"/>
      <c r="G1022" s="82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</row>
    <row r="1023">
      <c r="C1023" s="10"/>
      <c r="E1023" s="10"/>
      <c r="G1023" s="82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</row>
    <row r="1024">
      <c r="C1024" s="10"/>
      <c r="E1024" s="10"/>
      <c r="G1024" s="82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</row>
    <row r="1025">
      <c r="C1025" s="10"/>
      <c r="E1025" s="10"/>
      <c r="G1025" s="82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</row>
    <row r="1026">
      <c r="C1026" s="10"/>
      <c r="E1026" s="10"/>
      <c r="G1026" s="82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</row>
    <row r="1027">
      <c r="C1027" s="10"/>
      <c r="E1027" s="10"/>
      <c r="G1027" s="82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</row>
    <row r="1028">
      <c r="C1028" s="10"/>
      <c r="E1028" s="10"/>
      <c r="G1028" s="82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</row>
    <row r="1029">
      <c r="C1029" s="10"/>
      <c r="E1029" s="10"/>
      <c r="G1029" s="82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</row>
    <row r="1030">
      <c r="C1030" s="10"/>
      <c r="E1030" s="10"/>
      <c r="G1030" s="82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</row>
    <row r="1031">
      <c r="C1031" s="10"/>
      <c r="E1031" s="10"/>
      <c r="G1031" s="82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</row>
  </sheetData>
  <conditionalFormatting sqref="Y1:Y1031">
    <cfRule type="notContainsBlanks" dxfId="0" priority="1">
      <formula>LEN(TRIM(Y1))&gt;0</formula>
    </cfRule>
  </conditionalFormatting>
  <drawing r:id="rId1"/>
</worksheet>
</file>